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8ec300a09d42bec/Desktop/kabish/DSA/"/>
    </mc:Choice>
  </mc:AlternateContent>
  <xr:revisionPtr revIDLastSave="0" documentId="11_7D45DA6223D2DF9B64CF1DAAE63D188B5E585AF0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DSA Tracker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1" i="2" l="1"/>
  <c r="B10" i="2"/>
  <c r="B9" i="2"/>
  <c r="B7" i="2"/>
  <c r="B6" i="2"/>
  <c r="B5" i="2"/>
  <c r="B4" i="2"/>
  <c r="B3" i="2"/>
</calcChain>
</file>

<file path=xl/sharedStrings.xml><?xml version="1.0" encoding="utf-8"?>
<sst xmlns="http://schemas.openxmlformats.org/spreadsheetml/2006/main" count="2663" uniqueCount="1188">
  <si>
    <t>S.No</t>
  </si>
  <si>
    <t>Topic</t>
  </si>
  <si>
    <t>Problem</t>
  </si>
  <si>
    <t>Difficulty Level</t>
  </si>
  <si>
    <t>File Name</t>
  </si>
  <si>
    <t>Platform</t>
  </si>
  <si>
    <t>Problem Link</t>
  </si>
  <si>
    <t>Expected Input</t>
  </si>
  <si>
    <t>Expected Output</t>
  </si>
  <si>
    <t>Hint</t>
  </si>
  <si>
    <t>Time Complexity</t>
  </si>
  <si>
    <t>Space Complexity</t>
  </si>
  <si>
    <t>Status</t>
  </si>
  <si>
    <t>Solved Date</t>
  </si>
  <si>
    <t>Time Taken</t>
  </si>
  <si>
    <t>Notes</t>
  </si>
  <si>
    <t>Arrays</t>
  </si>
  <si>
    <t>Find the largest element in an array</t>
  </si>
  <si>
    <t>Easy</t>
  </si>
  <si>
    <t>find_the_largest_element_in_an_array.java</t>
  </si>
  <si>
    <t>GeeksforGeeks</t>
  </si>
  <si>
    <t>https://www.geeksforgeeks.org/problems/largest-element-in-array4009/1</t>
  </si>
  <si>
    <t>[10,25,7,42,18]</t>
  </si>
  <si>
    <t>42</t>
  </si>
  <si>
    <t>Traverse once and keep the maximum.</t>
  </si>
  <si>
    <t>O(n)</t>
  </si>
  <si>
    <t>Not Started</t>
  </si>
  <si>
    <t>Find the second largest element</t>
  </si>
  <si>
    <t>Medium</t>
  </si>
  <si>
    <t>find_the_second_largest_element.java</t>
  </si>
  <si>
    <t>https://www.geeksforgeeks.org/problems/second-largest3735/1</t>
  </si>
  <si>
    <t>25</t>
  </si>
  <si>
    <t>Track largest and second largest in one pass.</t>
  </si>
  <si>
    <t>Check if an array is sorted</t>
  </si>
  <si>
    <t>check_if_an_array_is_sorted.java</t>
  </si>
  <si>
    <t>https://www.geeksforgeeks.org/problems/check-if-an-array-is-sorted0701/1</t>
  </si>
  <si>
    <t>[1,2,3,4,5]</t>
  </si>
  <si>
    <t>true</t>
  </si>
  <si>
    <t>Compare every element with its previous element.</t>
  </si>
  <si>
    <t>Remove duplicates from a sorted array</t>
  </si>
  <si>
    <t>remove_duplicates_from_a_sorted_array.java</t>
  </si>
  <si>
    <t>[1,1,2,2,3]</t>
  </si>
  <si>
    <t>[1,2,3]</t>
  </si>
  <si>
    <t>Use two pointers to overwrite duplicates.</t>
  </si>
  <si>
    <t>Move all zeroes to the end</t>
  </si>
  <si>
    <t>move_all_zeroes_to_the_end.java</t>
  </si>
  <si>
    <t>LeetCode</t>
  </si>
  <si>
    <t>https://leetcode.com/problems/move-zeroes/</t>
  </si>
  <si>
    <t>[0,1,0,3,12]</t>
  </si>
  <si>
    <t>[1,3,12,0,0]</t>
  </si>
  <si>
    <t>Keep a write index for non-zero values.</t>
  </si>
  <si>
    <t>Left rotate an array by one position</t>
  </si>
  <si>
    <t>left_rotate_an_array_by_one_position.java</t>
  </si>
  <si>
    <t>https://www.geeksforgeeks.org/problems/rotate-array-by-one2614/1</t>
  </si>
  <si>
    <t>[2,3,4,5,1]</t>
  </si>
  <si>
    <t>Store the first element and shift left.</t>
  </si>
  <si>
    <t>Left rotate an array by K positions</t>
  </si>
  <si>
    <t>left_rotate_an_array_by_k_positions.java</t>
  </si>
  <si>
    <t>https://www.geeksforgeeks.org/problems/rotate-array-by-n-elements/1</t>
  </si>
  <si>
    <t>arr=[1,2,3,4,5], k=2</t>
  </si>
  <si>
    <t>[3,4,5,1,2]</t>
  </si>
  <si>
    <t>Use reversal or k modulo n.</t>
  </si>
  <si>
    <t>Right rotate an array by K positions</t>
  </si>
  <si>
    <t>right_rotate_an_array_by_k_positions.java</t>
  </si>
  <si>
    <t>[4,5,1,2,3]</t>
  </si>
  <si>
    <t>Find the missing number</t>
  </si>
  <si>
    <t>find_the_missing_number.java</t>
  </si>
  <si>
    <t>https://www.geeksforgeeks.org/problems/missing-number-in-array1416/1</t>
  </si>
  <si>
    <t>[1,2,4,5]</t>
  </si>
  <si>
    <t>3</t>
  </si>
  <si>
    <t>Use sum or XOR of indices and values.</t>
  </si>
  <si>
    <t>Find the number that appears once</t>
  </si>
  <si>
    <t>find_the_number_that_appears_once.java</t>
  </si>
  <si>
    <t>https://www.geeksforgeeks.org/problems/single-number1014/1</t>
  </si>
  <si>
    <t>[4,1,2,1,2]</t>
  </si>
  <si>
    <t>4</t>
  </si>
  <si>
    <t>XOR all values.</t>
  </si>
  <si>
    <t>Find the maximum and minimum element</t>
  </si>
  <si>
    <t>find_the_maximum_and_minimum_element.java</t>
  </si>
  <si>
    <t>https://www.geeksforgeeks.org/problems/find-minimum-and-maximum-element-in-an-array4428/1</t>
  </si>
  <si>
    <t>[5,2,9,1,7]</t>
  </si>
  <si>
    <t>Max=9, Min=1</t>
  </si>
  <si>
    <t>Maintain min and max during one traversal.</t>
  </si>
  <si>
    <t>Find the second smallest element</t>
  </si>
  <si>
    <t>find_the_second_smallest_element.java</t>
  </si>
  <si>
    <t>https://www.geeksforgeeks.org/problems/second-smallest3735/1</t>
  </si>
  <si>
    <t>2</t>
  </si>
  <si>
    <t>Track smallest and second smallest.</t>
  </si>
  <si>
    <t>Find the majority element</t>
  </si>
  <si>
    <t>find_the_majority_element.java</t>
  </si>
  <si>
    <t>https://www.geeksforgeeks.org/problems/majority-element-1587115620/1</t>
  </si>
  <si>
    <t>[2,2,1,1,1,2,2]</t>
  </si>
  <si>
    <t>Use Boyer-Moore voting.</t>
  </si>
  <si>
    <t>Find the maximum subarray sum</t>
  </si>
  <si>
    <t>find_the_maximum_subarray_sum.java</t>
  </si>
  <si>
    <t>https://www.geeksforgeeks.org/problems/kadanes-algorithm-1587115620/1</t>
  </si>
  <si>
    <t>[-2,1,-3,4,-1,2,1,-5,4]</t>
  </si>
  <si>
    <t>6</t>
  </si>
  <si>
    <t>Apply Kadane's algorithm.</t>
  </si>
  <si>
    <t>Find the maximum profit from buying and selling stock</t>
  </si>
  <si>
    <t>find_the_maximum_profit_from_buying_and_selling_stock.java</t>
  </si>
  <si>
    <t>https://www.geeksforgeeks.org/problems/stock-buy-and-sell-1587115621/1</t>
  </si>
  <si>
    <t>[7,1,5,3,6,4]</t>
  </si>
  <si>
    <t>5</t>
  </si>
  <si>
    <t>Track the minimum price and best profit.</t>
  </si>
  <si>
    <t>Find the union of two sorted arrays</t>
  </si>
  <si>
    <t>find_the_union_of_two_sorted_arrays.java</t>
  </si>
  <si>
    <t>https://www.geeksforgeeks.org/problems/union-of-two-sorted-arrays-1587115621/1</t>
  </si>
  <si>
    <t>A=[1,2,4], B=[2,4,6]</t>
  </si>
  <si>
    <t>[1,2,4,6]</t>
  </si>
  <si>
    <t>Use two pointers and skip duplicates.</t>
  </si>
  <si>
    <t>Find the intersection of two arrays</t>
  </si>
  <si>
    <t>find_the_intersection_of_two_arrays.java</t>
  </si>
  <si>
    <t>https://www.geeksforgeeks.org/problems/intersection-of-two-sorted-array-1587115620/1</t>
  </si>
  <si>
    <t>A=[1,2,2,3], B=[2,2,4]</t>
  </si>
  <si>
    <t>[2,2]</t>
  </si>
  <si>
    <t>Compare sorted values with two pointers.</t>
  </si>
  <si>
    <t>Find all leaders in an array</t>
  </si>
  <si>
    <t>find_all_leaders_in_an_array.java</t>
  </si>
  <si>
    <t>https://www.geeksforgeeks.org/problems/leaders-in-an-array-1587115620/1</t>
  </si>
  <si>
    <t>[16,17,4,3,5,2]</t>
  </si>
  <si>
    <t>[17,5,2]</t>
  </si>
  <si>
    <t>Traverse from right while tracking the maximum.</t>
  </si>
  <si>
    <t>Rearrange array elements by sign</t>
  </si>
  <si>
    <t>rearrange_array_elements_by_sign.java</t>
  </si>
  <si>
    <t>https://www.geeksforgeeks.org/problems/array-of-alternate-ve-and-ve-nos1401/1</t>
  </si>
  <si>
    <t>[-1,2,-3,4]</t>
  </si>
  <si>
    <t>[2,4,-1,-3]</t>
  </si>
  <si>
    <t>Separate positive and negative values, then merge.</t>
  </si>
  <si>
    <t>Find the maximum consecutive 1s</t>
  </si>
  <si>
    <t>find_the_maximum_consecutive_1s.java</t>
  </si>
  <si>
    <t>https://www.geeksforgeeks.org/problems/max-1s-1/1</t>
  </si>
  <si>
    <t>[1,1,0,1,1,1]</t>
  </si>
  <si>
    <t>Maintain a running count and maximum.</t>
  </si>
  <si>
    <t>Find the duplicate number</t>
  </si>
  <si>
    <t>find_the_duplicate_number.java</t>
  </si>
  <si>
    <t>https://leetcode.com/problems/find-the-duplicate-number/</t>
  </si>
  <si>
    <t>[1,3,4,2,2]</t>
  </si>
  <si>
    <t>Use Floyd's cycle detection or counting.</t>
  </si>
  <si>
    <t>Find two numbers whose sum equals a target</t>
  </si>
  <si>
    <t>find_two_numbers_whose_sum_equals_a_target.java</t>
  </si>
  <si>
    <t>https://leetcode.com/problems/two-sum/</t>
  </si>
  <si>
    <t>arr=[2,7,11,15], target=9</t>
  </si>
  <si>
    <t>[0,1]</t>
  </si>
  <si>
    <t>Store complements in a HashMap.</t>
  </si>
  <si>
    <t>Find three numbers whose sum equals zero</t>
  </si>
  <si>
    <t>find_three_numbers_whose_sum_equals_zero.java</t>
  </si>
  <si>
    <t>https://leetcode.com/problems/3sum/</t>
  </si>
  <si>
    <t>[-1,0,1,2,-1,-4]</t>
  </si>
  <si>
    <t>[[-1,-1,2],[-1,0,1]]</t>
  </si>
  <si>
    <t>Sort, then fix one value and use two pointers.</t>
  </si>
  <si>
    <t>Find the longest consecutive sequence</t>
  </si>
  <si>
    <t>find_the_longest_consecutive_sequence.java</t>
  </si>
  <si>
    <t>https://leetcode.com/problems/longest-consecutive-sequence/</t>
  </si>
  <si>
    <t>[100,4,200,1,3,2]</t>
  </si>
  <si>
    <t>Use a HashSet and start only at sequence beginnings.</t>
  </si>
  <si>
    <t>Find the product of array elements except itself</t>
  </si>
  <si>
    <t>find_the_product_of_array_elements_except_itself.java</t>
  </si>
  <si>
    <t>https://leetcode.com/problems/product-of-array-except-self/</t>
  </si>
  <si>
    <t>[1,2,3,4]</t>
  </si>
  <si>
    <t>[24,12,8,6]</t>
  </si>
  <si>
    <t>Use prefix and suffix products.</t>
  </si>
  <si>
    <t>Strings</t>
  </si>
  <si>
    <t>Reverse a string</t>
  </si>
  <si>
    <t>reverse_a_string.java</t>
  </si>
  <si>
    <t>hello</t>
  </si>
  <si>
    <t>olleh</t>
  </si>
  <si>
    <t>Use two pointers or StringBuilder.</t>
  </si>
  <si>
    <t>Check whether a string is a palindrome</t>
  </si>
  <si>
    <t>check_whether_a_string_is_a_palindrome.java</t>
  </si>
  <si>
    <t>madam</t>
  </si>
  <si>
    <t>Compare characters from both ends.</t>
  </si>
  <si>
    <t>Count vowels and consonants</t>
  </si>
  <si>
    <t>count_vowels_and_consonants.java</t>
  </si>
  <si>
    <t>Hello World</t>
  </si>
  <si>
    <t>Vowels=3, Consonants=7</t>
  </si>
  <si>
    <t>Traverse and classify alphabetic characters.</t>
  </si>
  <si>
    <t>Count frequency of characters</t>
  </si>
  <si>
    <t>count_frequency_of_characters.java</t>
  </si>
  <si>
    <t>banana</t>
  </si>
  <si>
    <t>{"a":3,"n":2,"b":1}</t>
  </si>
  <si>
    <t>Use a HashMap or frequency array.</t>
  </si>
  <si>
    <t>Remove duplicate characters</t>
  </si>
  <si>
    <t>remove_duplicate_characters.java</t>
  </si>
  <si>
    <t>programming</t>
  </si>
  <si>
    <t>progamin</t>
  </si>
  <si>
    <t>Use a boolean set while preserving order.</t>
  </si>
  <si>
    <t>Find the first non-repeating character</t>
  </si>
  <si>
    <t>find_the_first_non_repeating_character.java</t>
  </si>
  <si>
    <t>swiss</t>
  </si>
  <si>
    <t>w</t>
  </si>
  <si>
    <t>Count frequencies, then scan again.</t>
  </si>
  <si>
    <t>Check whether two strings are anagrams</t>
  </si>
  <si>
    <t>check_whether_two_strings_are_anagrams.java</t>
  </si>
  <si>
    <t>https://leetcode.com/problems/valid-anagram/</t>
  </si>
  <si>
    <t>listen,"silent"</t>
  </si>
  <si>
    <t>Compare character frequencies.</t>
  </si>
  <si>
    <t>Find the longest common prefix</t>
  </si>
  <si>
    <t>find_the_longest_common_prefix.java</t>
  </si>
  <si>
    <t>https://leetcode.com/problems/longest-common-prefix/</t>
  </si>
  <si>
    <t>flower,"flow","flight"</t>
  </si>
  <si>
    <t>fl</t>
  </si>
  <si>
    <t>Shrink the prefix until all strings match.</t>
  </si>
  <si>
    <t>Reverse words in a string</t>
  </si>
  <si>
    <t>reverse_words_in_a_string.java</t>
  </si>
  <si>
    <t>https://leetcode.com/problems/reverse-words-in-a-string/</t>
  </si>
  <si>
    <t>the sky is blue</t>
  </si>
  <si>
    <t>blue is sky the</t>
  </si>
  <si>
    <t>Split/scan words and reverse their order.</t>
  </si>
  <si>
    <t>Check whether one string is a rotation of another</t>
  </si>
  <si>
    <t>check_whether_one_string_is_a_rotation_of_another.java</t>
  </si>
  <si>
    <t>https://leetcode.com/problems/rotate-string/</t>
  </si>
  <si>
    <t>waterbottle,"erbottlewat"</t>
  </si>
  <si>
    <t>Check whether s2 occurs in s1+s1.</t>
  </si>
  <si>
    <t>Find the longest substring without repeating characters</t>
  </si>
  <si>
    <t>find_the_longest_substring_without_repeating_characters.java</t>
  </si>
  <si>
    <t>abcabcbb</t>
  </si>
  <si>
    <t>Use a sliding window and last-seen positions.</t>
  </si>
  <si>
    <t>Find the longest palindromic substring</t>
  </si>
  <si>
    <t>Hard</t>
  </si>
  <si>
    <t>find_the_longest_palindromic_substring.java</t>
  </si>
  <si>
    <t>babad</t>
  </si>
  <si>
    <t>bab or "aba"</t>
  </si>
  <si>
    <t>Expand around every possible center.</t>
  </si>
  <si>
    <t>Count palindromic substrings</t>
  </si>
  <si>
    <t>count_palindromic_substrings.java</t>
  </si>
  <si>
    <t>https://leetcode.com/problems/palindromic-substrings/</t>
  </si>
  <si>
    <t>aaa</t>
  </si>
  <si>
    <t>Expand around each center and count.</t>
  </si>
  <si>
    <t>Convert Roman numerals to integer</t>
  </si>
  <si>
    <t>convert_roman_numerals_to_integer.java</t>
  </si>
  <si>
    <t>https://leetcode.com/problems/roman-to-integer/</t>
  </si>
  <si>
    <t>MCMXCIV</t>
  </si>
  <si>
    <t>1994</t>
  </si>
  <si>
    <t>Compare each symbol with the next symbol.</t>
  </si>
  <si>
    <t>Convert integer to Roman numeral</t>
  </si>
  <si>
    <t>convert_integer_to_roman_numeral.java</t>
  </si>
  <si>
    <t>https://leetcode.com/problems/integer-to-roman/</t>
  </si>
  <si>
    <t>(1994)</t>
  </si>
  <si>
    <t>Greedily subtract the largest Roman value.</t>
  </si>
  <si>
    <t>Implement string-to-integer conversion</t>
  </si>
  <si>
    <t>implement_string_to_integer_conversion.java</t>
  </si>
  <si>
    <t>https://leetcode.com/problems/string-to-integer-atoi/</t>
  </si>
  <si>
    <t xml:space="preserve">   -42</t>
  </si>
  <si>
    <t xml:space="preserve"> -42</t>
  </si>
  <si>
    <t>Skip spaces, read sign, then digits with overflow checks.</t>
  </si>
  <si>
    <t>Check whether two strings are isomorphic</t>
  </si>
  <si>
    <t>check_whether_two_strings_are_isomorphic.java</t>
  </si>
  <si>
    <t>https://leetcode.com/problems/isomorphic-strings/</t>
  </si>
  <si>
    <t>egg,"add"</t>
  </si>
  <si>
    <t>Maintain two-way character mappings.</t>
  </si>
  <si>
    <t>Group anagrams</t>
  </si>
  <si>
    <t>group_anagrams.java</t>
  </si>
  <si>
    <t>["eat","tea","tan","ate","nat","bat"]</t>
  </si>
  <si>
    <t>[["eat","tea","ate"],["tan","nat"],["bat"]]</t>
  </si>
  <si>
    <t>Use sorted strings or frequency signatures as keys.</t>
  </si>
  <si>
    <t>Find all permutations of a string</t>
  </si>
  <si>
    <t>find_all_permutations_of_a_string.java</t>
  </si>
  <si>
    <t>https://www.geeksforgeeks.org/problems/permutations-of-a-given-string2041/1</t>
  </si>
  <si>
    <t>abc</t>
  </si>
  <si>
    <t>["abc","acb","bac","bca","cab","cba"]</t>
  </si>
  <si>
    <t>Backtrack by choosing unused characters.</t>
  </si>
  <si>
    <t>Implement substring search</t>
  </si>
  <si>
    <t>implement_substring_search.java</t>
  </si>
  <si>
    <t>https://leetcode.com/problems/find-the-index-of-the-first-occurrence-in-a-string/</t>
  </si>
  <si>
    <t>hello,"ll"</t>
  </si>
  <si>
    <t>Try matching from each possible starting index.</t>
  </si>
  <si>
    <t>HashMap / HashSet</t>
  </si>
  <si>
    <t>Two Sum</t>
  </si>
  <si>
    <t>two_sum.java</t>
  </si>
  <si>
    <t>nums=[2,7,11,15], target=9</t>
  </si>
  <si>
    <t>Store each value's complement in a HashMap.</t>
  </si>
  <si>
    <t>Contains Duplicate</t>
  </si>
  <si>
    <t>contains_duplicate.java</t>
  </si>
  <si>
    <t>https://leetcode.com/problems/contains-duplicate/</t>
  </si>
  <si>
    <t>[1,2,3,1]</t>
  </si>
  <si>
    <t>Insert values into a HashSet.</t>
  </si>
  <si>
    <t>Valid Anagram</t>
  </si>
  <si>
    <t>valid_anagram.java</t>
  </si>
  <si>
    <t>anagram,"nagaram"</t>
  </si>
  <si>
    <t>Compare frequency maps.</t>
  </si>
  <si>
    <t>Frequency of elements in an array</t>
  </si>
  <si>
    <t>frequency_of_elements_in_an_array.java</t>
  </si>
  <si>
    <t>[1,2,2,3,3,3]</t>
  </si>
  <si>
    <t>{1:1,2:2,3:3}</t>
  </si>
  <si>
    <t>Build a HashMap of value to count.</t>
  </si>
  <si>
    <t>First unique character</t>
  </si>
  <si>
    <t>first_unique_character.java</t>
  </si>
  <si>
    <t>https://leetcode.com/problems/first-unique-character-in-a-string/</t>
  </si>
  <si>
    <t>leetcode</t>
  </si>
  <si>
    <t>l</t>
  </si>
  <si>
    <t>Count first, then find the first count of one.</t>
  </si>
  <si>
    <t>Intersection of two arrays</t>
  </si>
  <si>
    <t>intersection_of_two_arrays.java</t>
  </si>
  <si>
    <t>https://leetcode.com/problems/intersection-of-two-arrays/</t>
  </si>
  <si>
    <t>[1,2,2,1],[2,2]</t>
  </si>
  <si>
    <t>[2]</t>
  </si>
  <si>
    <t>Use a set or frequency map.</t>
  </si>
  <si>
    <t>Find duplicate elements</t>
  </si>
  <si>
    <t>find_duplicate_elements.java</t>
  </si>
  <si>
    <t>[1,2,3,2,4,3]</t>
  </si>
  <si>
    <t>[2,3]</t>
  </si>
  <si>
    <t>Track previously seen values.</t>
  </si>
  <si>
    <t>Longest consecutive sequence</t>
  </si>
  <si>
    <t>longest_consecutive_sequence.java</t>
  </si>
  <si>
    <t>Use a HashSet and extend only from sequence starts.</t>
  </si>
  <si>
    <t>Group Anagrams</t>
  </si>
  <si>
    <t>https://leetcode.com/problems/group-anagrams/</t>
  </si>
  <si>
    <t>grouped anagrams</t>
  </si>
  <si>
    <t>Identify the pattern, choose the appropriate data structure, and handle edge cases.</t>
  </si>
  <si>
    <t>Subarray Sum Equals K</t>
  </si>
  <si>
    <t>subarray_sum_equals_k.java</t>
  </si>
  <si>
    <t>https://leetcode.com/problems/subarray-sum-equals-k/</t>
  </si>
  <si>
    <t>nums=[1,2,3], k=3</t>
  </si>
  <si>
    <t>Store prefix-sum frequencies.</t>
  </si>
  <si>
    <t>Longest subarray with sum zero</t>
  </si>
  <si>
    <t>longest_subarray_with_sum_zero.java</t>
  </si>
  <si>
    <t>nums=[1,-1,3,1,-4],</t>
  </si>
  <si>
    <t>Store the first index for each prefix sum.</t>
  </si>
  <si>
    <t>Count number of subarrays with given sum</t>
  </si>
  <si>
    <t>count_number_of_subarrays_with_given_sum.java</t>
  </si>
  <si>
    <t>nums=[1,1,1], k=2</t>
  </si>
  <si>
    <t>Use prefix sum plus frequency map.</t>
  </si>
  <si>
    <t>Top K Frequent Elements</t>
  </si>
  <si>
    <t>top_k_frequent_elements.java</t>
  </si>
  <si>
    <t>https://leetcode.com/problems/top-k-frequent-elements/</t>
  </si>
  <si>
    <t>[1,1,1,2,2,3], k=2</t>
  </si>
  <si>
    <t>[1,2]</t>
  </si>
  <si>
    <t>Count frequencies and use a heap/buckets.</t>
  </si>
  <si>
    <t>Isomorphic Strings</t>
  </si>
  <si>
    <t>isomorphic_strings.java</t>
  </si>
  <si>
    <t>Maintain mappings in both directions.</t>
  </si>
  <si>
    <t>Longest substring with at most K distinct characters</t>
  </si>
  <si>
    <t>longest_substring_with_at_most_k_distinct_characters.java</t>
  </si>
  <si>
    <t>https://leetcode.com/problems/longest-substring-with-at-most-k-distinct-characters/</t>
  </si>
  <si>
    <t>eceba, k=2</t>
  </si>
  <si>
    <t>Expand and shrink a frequency-map window.</t>
  </si>
  <si>
    <t>Two Pointers</t>
  </si>
  <si>
    <t>Two Sum in a sorted array</t>
  </si>
  <si>
    <t>two_sum_in_a_sorted_array.java</t>
  </si>
  <si>
    <t>Move left/right pointers based on the sum.</t>
  </si>
  <si>
    <t>Remove duplicates from sorted array</t>
  </si>
  <si>
    <t>remove_duplicates_from_sorted_array.java</t>
  </si>
  <si>
    <t>https://leetcode.com/problems/remove-duplicates-from-sorted-array/</t>
  </si>
  <si>
    <t>Use slow and fast pointers.</t>
  </si>
  <si>
    <t>Move zeroes</t>
  </si>
  <si>
    <t>move_zeroes.java</t>
  </si>
  <si>
    <t>Write non-zero values first, then fill zeros.</t>
  </si>
  <si>
    <t>Valid palindrome</t>
  </si>
  <si>
    <t>valid_palindrome.java</t>
  </si>
  <si>
    <t>A man, a plan, a canal: Panama</t>
  </si>
  <si>
    <t>Use two pointers while ignoring non-alphanumeric characters.</t>
  </si>
  <si>
    <t>Reverse vowels of a string</t>
  </si>
  <si>
    <t>reverse_vowels_of_a_string.java</t>
  </si>
  <si>
    <t>https://leetcode.com/problems/reverse-vowels-of-a-string/</t>
  </si>
  <si>
    <t>eo</t>
  </si>
  <si>
    <t>Move two pointers until both point to vowels.</t>
  </si>
  <si>
    <t>Container With Most Water</t>
  </si>
  <si>
    <t>container_with_most_water.java</t>
  </si>
  <si>
    <t>https://leetcode.com/problems/container-with-most-water/</t>
  </si>
  <si>
    <t>[1,8,6,2,5,4,8,3,7]</t>
  </si>
  <si>
    <t>49</t>
  </si>
  <si>
    <t>Move the pointer at the shorter height.</t>
  </si>
  <si>
    <t>3Sum</t>
  </si>
  <si>
    <t>3sum.java</t>
  </si>
  <si>
    <t>Sort, fix one number, and use two pointers.</t>
  </si>
  <si>
    <t>4Sum</t>
  </si>
  <si>
    <t>4sum.java</t>
  </si>
  <si>
    <t>https://leetcode.com/problems/4sum/</t>
  </si>
  <si>
    <t>[1,0,-1,0,-2,2], target=0</t>
  </si>
  <si>
    <t>[[-2,-1,1,2],[-2,0,0,2],[-1,0,0,1]]</t>
  </si>
  <si>
    <t>Sort, fix two numbers, and use two pointers.</t>
  </si>
  <si>
    <t>Sort colors</t>
  </si>
  <si>
    <t>sort_colors.java</t>
  </si>
  <si>
    <t>[2,0,2,1,1,0]</t>
  </si>
  <si>
    <t>[0,0,1,1,2,2]</t>
  </si>
  <si>
    <t>Use the Dutch National Flag algorithm.</t>
  </si>
  <si>
    <t>Trapping Rain Water</t>
  </si>
  <si>
    <t>trapping_rain_water.java</t>
  </si>
  <si>
    <t>https://leetcode.com/problems/trapping-rain-water/</t>
  </si>
  <si>
    <t>[4,2,0,3,2,5]</t>
  </si>
  <si>
    <t>9</t>
  </si>
  <si>
    <t>Use two pointers with left/right maximums.</t>
  </si>
  <si>
    <t>Sliding Window</t>
  </si>
  <si>
    <t>Maximum sum subarray of size K</t>
  </si>
  <si>
    <t>maximum_sum_subarray_of_size_k.java</t>
  </si>
  <si>
    <t>https://leetcode.com/problems/maximum-average-subarray-i/</t>
  </si>
  <si>
    <t>[2,1,5,1,3,2], k=3</t>
  </si>
  <si>
    <t>Maintain a fixed-size sliding window sum.</t>
  </si>
  <si>
    <t>Maximum number of consecutive 1s</t>
  </si>
  <si>
    <t>maximum_number_of_consecutive_1s.java</t>
  </si>
  <si>
    <t>https://leetcode.com/problems/max-consecutive-ones/</t>
  </si>
  <si>
    <t>[1,1,1,0,0,1,1]</t>
  </si>
  <si>
    <t>Use a running count of ones.</t>
  </si>
  <si>
    <t>Longest substring without repeating characters</t>
  </si>
  <si>
    <t>longest_substring_without_repeating_characters.java</t>
  </si>
  <si>
    <t>https://leetcode.com/problems/longest-substring-without-repeating-characters/</t>
  </si>
  <si>
    <t>Minimum size subarray sum</t>
  </si>
  <si>
    <t>minimum_size_subarray_sum.java</t>
  </si>
  <si>
    <t>https://leetcode.com/problems/minimum-size-subarray-sum/</t>
  </si>
  <si>
    <t>[2,3,1,2,4,3], target=7</t>
  </si>
  <si>
    <t>Shrink the window while sum meets the target.</t>
  </si>
  <si>
    <t>Maximum average subarray</t>
  </si>
  <si>
    <t>maximum_average_subarray.java</t>
  </si>
  <si>
    <t>[1,12,-5,-6,50,3], k=4</t>
  </si>
  <si>
    <t>12.75</t>
  </si>
  <si>
    <t>Maximize the fixed-size window sum.</t>
  </si>
  <si>
    <t>Permutation in String</t>
  </si>
  <si>
    <t>permutation_in_string.java</t>
  </si>
  <si>
    <t>https://leetcode.com/problems/permutation-in-string/</t>
  </si>
  <si>
    <t>ab,"eidbaooo"</t>
  </si>
  <si>
    <t>Compare fixed-size frequency windows.</t>
  </si>
  <si>
    <t>Find all anagrams in a string</t>
  </si>
  <si>
    <t>find_all_anagrams_in_a_string.java</t>
  </si>
  <si>
    <t>https://leetcode.com/problems/find-all-anagrams-in-a-string/</t>
  </si>
  <si>
    <t>cbaebabacd,"abc"</t>
  </si>
  <si>
    <t xml:space="preserve"> [0,6]</t>
  </si>
  <si>
    <t>Use a sliding frequency window.</t>
  </si>
  <si>
    <t>Minimum Window Substring</t>
  </si>
  <si>
    <t>minimum_window_substring.java</t>
  </si>
  <si>
    <t>https://leetcode.com/problems/minimum-window-substring/</t>
  </si>
  <si>
    <t>ADOBECODEBANC,"ABC"</t>
  </si>
  <si>
    <t>BANC</t>
  </si>
  <si>
    <t>Expand until valid, then shrink for minimum length.</t>
  </si>
  <si>
    <t>Longest Repeating Character Replacement</t>
  </si>
  <si>
    <t>longest_repeating_character_replacement.java</t>
  </si>
  <si>
    <t>https://leetcode.com/problems/longest-repeating-character-replacement/</t>
  </si>
  <si>
    <t>AABABBA, k=1</t>
  </si>
  <si>
    <t>Track max frequency in the current window.</t>
  </si>
  <si>
    <t>Binary Search</t>
  </si>
  <si>
    <t>binary_search.java</t>
  </si>
  <si>
    <t>https://leetcode.com/problems/binary-search/</t>
  </si>
  <si>
    <t>nums=[-1,0,3,5,9,12], target=9</t>
  </si>
  <si>
    <t>Compare the target with the middle element.</t>
  </si>
  <si>
    <t>O(log n)</t>
  </si>
  <si>
    <t>O(1)</t>
  </si>
  <si>
    <t>Search Insert Position</t>
  </si>
  <si>
    <t>search_insert_position.java</t>
  </si>
  <si>
    <t>https://leetcode.com/problems/search-insert-position/</t>
  </si>
  <si>
    <t>nums=[1,3,5,6], target=2</t>
  </si>
  <si>
    <t>1</t>
  </si>
  <si>
    <t>Binary search for the first position &gt;= target.</t>
  </si>
  <si>
    <t>Find first and last position of an element</t>
  </si>
  <si>
    <t>find_first_and_last_position_of_an_element.java</t>
  </si>
  <si>
    <t>https://leetcode.com/problems/find-first-and-last-position-of-element-in-sorted-array/</t>
  </si>
  <si>
    <t>nums=[5,7,7,8,8,10], target=8</t>
  </si>
  <si>
    <t>[3,4]</t>
  </si>
  <si>
    <t>Run binary search twice for bounds.</t>
  </si>
  <si>
    <t>Count occurrences in a sorted array</t>
  </si>
  <si>
    <t>count_occurrences_in_a_sorted_array.java</t>
  </si>
  <si>
    <t>nums=[1,2,2,2,3], target=2</t>
  </si>
  <si>
    <t>Find first and last positions.</t>
  </si>
  <si>
    <t>Find the first occurrence</t>
  </si>
  <si>
    <t>find_the_first_occurrence.java</t>
  </si>
  <si>
    <t>nums=[1,2,2,3], target=2</t>
  </si>
  <si>
    <t>When matched, continue searching left.</t>
  </si>
  <si>
    <t>Find the last occurrence</t>
  </si>
  <si>
    <t>find_the_last_occurrence.java</t>
  </si>
  <si>
    <t>When matched, continue searching right.</t>
  </si>
  <si>
    <t>Search in a rotated sorted array</t>
  </si>
  <si>
    <t>search_in_a_rotated_sorted_array.java</t>
  </si>
  <si>
    <t>https://leetcode.com/problems/search-in-rotated-sorted-array/</t>
  </si>
  <si>
    <t>nums=[4,5,6,7,0,1,2], target=0</t>
  </si>
  <si>
    <t>Identify which half is sorted.</t>
  </si>
  <si>
    <t>Find minimum in a rotated sorted array</t>
  </si>
  <si>
    <t>find_minimum_in_a_rotated_sorted_array.java</t>
  </si>
  <si>
    <t>https://leetcode.com/problems/find-minimum-in-rotated-sorted-array/</t>
  </si>
  <si>
    <t>[4,5,6,7,0,1,2]</t>
  </si>
  <si>
    <t>0</t>
  </si>
  <si>
    <t>Use the sorted-half property.</t>
  </si>
  <si>
    <t>Find the rotation count</t>
  </si>
  <si>
    <t>find_the_rotation_count.java</t>
  </si>
  <si>
    <t>[15,18,2,3,6,12]</t>
  </si>
  <si>
    <t>The minimum element's index is the rotation count.</t>
  </si>
  <si>
    <t>Find a peak element</t>
  </si>
  <si>
    <t>find_a_peak_element.java</t>
  </si>
  <si>
    <t>https://leetcode.com/problems/find-peak-element/</t>
  </si>
  <si>
    <t>[1,2,1,3,5,6,4]</t>
  </si>
  <si>
    <t>Move toward the side with a larger neighbor.</t>
  </si>
  <si>
    <t>Find square root of a number</t>
  </si>
  <si>
    <t>find_square_root_of_a_number.java</t>
  </si>
  <si>
    <t>https://leetcode.com/problems/sqrtx/</t>
  </si>
  <si>
    <t>16</t>
  </si>
  <si>
    <t>Binary search the integer answer.</t>
  </si>
  <si>
    <t>Find Kth missing positive number</t>
  </si>
  <si>
    <t>find_kth_missing_positive_number.java</t>
  </si>
  <si>
    <t>arr=[2,3,4,7,11], k=5</t>
  </si>
  <si>
    <t>Binary search using missing count.</t>
  </si>
  <si>
    <t>Koko Eating Bananas</t>
  </si>
  <si>
    <t>koko_eating_bananas.java</t>
  </si>
  <si>
    <t>https://leetcode.com/problems/koko-eating-bananas/</t>
  </si>
  <si>
    <t>piles=[3,6,7,11], h=8</t>
  </si>
  <si>
    <t>Binary search the minimum eating speed.</t>
  </si>
  <si>
    <t>Capacity to Ship Packages Within D Days</t>
  </si>
  <si>
    <t>capacity_to_ship_packages_within_d_days.java</t>
  </si>
  <si>
    <t>https://leetcode.com/problems/capacity-to-ship-packages-within-d-days/</t>
  </si>
  <si>
    <t>weights=[1,2,3,4,5,6,7,8,9,10], days=5</t>
  </si>
  <si>
    <t>15</t>
  </si>
  <si>
    <t>Binary search the minimum capacity.</t>
  </si>
  <si>
    <t>Median of Two Sorted Arrays</t>
  </si>
  <si>
    <t>median_of_two_sorted_arrays.java</t>
  </si>
  <si>
    <t>https://leetcode.com/problems/median-of-two-sorted-arrays/</t>
  </si>
  <si>
    <t>A=[1,3], B=[2]</t>
  </si>
  <si>
    <t>2.0</t>
  </si>
  <si>
    <t>Binary search the partition in the smaller array.</t>
  </si>
  <si>
    <t>Linked List</t>
  </si>
  <si>
    <t>Create and traverse a linked list</t>
  </si>
  <si>
    <t>create_and_traverse_a_linked_list.java</t>
  </si>
  <si>
    <t>1 -&gt; 2 -&gt; 3</t>
  </si>
  <si>
    <t>Create nodes and follow next pointers.</t>
  </si>
  <si>
    <t>Insert a node at beginning</t>
  </si>
  <si>
    <t>insert_a_node_at_beginning.java</t>
  </si>
  <si>
    <t>0 -&gt; 1 -&gt; 2 -&gt; 3</t>
  </si>
  <si>
    <t>Point the new node to the current head.</t>
  </si>
  <si>
    <t>Insert a node at end</t>
  </si>
  <si>
    <t>insert_a_node_at_end.java</t>
  </si>
  <si>
    <t>1 -&gt; 2 -&gt; 3 -&gt; 4</t>
  </si>
  <si>
    <t>Traverse to the last node and attach the new node.</t>
  </si>
  <si>
    <t>Delete a node</t>
  </si>
  <si>
    <t>delete_a_node.java</t>
  </si>
  <si>
    <t>1 -&gt; 2 -&gt; 3, delete 2</t>
  </si>
  <si>
    <t>1 -&gt; 3</t>
  </si>
  <si>
    <t>Reconnect the previous node to the next node.</t>
  </si>
  <si>
    <t>Search for an element</t>
  </si>
  <si>
    <t>search_for_an_element.java</t>
  </si>
  <si>
    <t>1 -&gt; 2 -&gt; 3, search 2</t>
  </si>
  <si>
    <t>Traverse until the value is found.</t>
  </si>
  <si>
    <t>Reverse a linked list</t>
  </si>
  <si>
    <t>reverse_a_linked_list.java</t>
  </si>
  <si>
    <t>https://leetcode.com/problems/reverse-linked-list/</t>
  </si>
  <si>
    <t>3 -&gt; 2 -&gt; 1</t>
  </si>
  <si>
    <t>Reverse next pointers iteratively.</t>
  </si>
  <si>
    <t>Find the middle of a linked list</t>
  </si>
  <si>
    <t>find_the_middle_of_a_linked_list.java</t>
  </si>
  <si>
    <t>https://leetcode.com/problems/middle-of-the-linked-list/</t>
  </si>
  <si>
    <t>1 -&gt; 2 -&gt; 3 -&gt; 4 -&gt; 5</t>
  </si>
  <si>
    <t>Detect a cycle</t>
  </si>
  <si>
    <t>detect_a_cycle.java</t>
  </si>
  <si>
    <t>https://leetcode.com/problems/linked-list-cycle/</t>
  </si>
  <si>
    <t>1 -&gt; 2 -&gt; 3 -&gt; 4, cycle at 2</t>
  </si>
  <si>
    <t>Use Floyd's slow and fast pointers.</t>
  </si>
  <si>
    <t>Find the starting point of a cycle</t>
  </si>
  <si>
    <t>find_the_starting_point_of_a_cycle.java</t>
  </si>
  <si>
    <t>https://leetcode.com/problems/linked-list-cycle-ii/</t>
  </si>
  <si>
    <t>node 2</t>
  </si>
  <si>
    <t>After detection, reset one pointer to head.</t>
  </si>
  <si>
    <t>Merge two sorted linked lists</t>
  </si>
  <si>
    <t>merge_two_sorted_linked_lists.java</t>
  </si>
  <si>
    <t>https://leetcode.com/problems/merge-two-sorted-lists/</t>
  </si>
  <si>
    <t>1 -&gt; 2 -&gt; 4, 1 -&gt; 3 -&gt; 4</t>
  </si>
  <si>
    <t>1 -&gt; 1 -&gt; 2 -&gt; 3 -&gt; 4 -&gt; 4</t>
  </si>
  <si>
    <t>Choose the smaller current node each time.</t>
  </si>
  <si>
    <t>Remove Nth node from the end</t>
  </si>
  <si>
    <t>remove_nth_node_from_the_end.java</t>
  </si>
  <si>
    <t>https://leetcode.com/problems/remove-nth-node-from-end-of-list/</t>
  </si>
  <si>
    <t>1 -&gt; 2 -&gt; 3 -&gt; 4 -&gt; 5, n=2</t>
  </si>
  <si>
    <t>1 -&gt; 2 -&gt; 3 -&gt; 5</t>
  </si>
  <si>
    <t>Use two pointers with an n-node gap.</t>
  </si>
  <si>
    <t>Check whether linked list is palindrome</t>
  </si>
  <si>
    <t>check_whether_linked_list_is_palindrome.java</t>
  </si>
  <si>
    <t>https://leetcode.com/problems/palindrome-linked-list/</t>
  </si>
  <si>
    <t>1 -&gt; 2 -&gt; 2 -&gt; 1</t>
  </si>
  <si>
    <t>Find middle, reverse second half, compare.</t>
  </si>
  <si>
    <t>Add two numbers represented by linked lists</t>
  </si>
  <si>
    <t>add_two_numbers_represented_by_linked_lists.java</t>
  </si>
  <si>
    <t>https://leetcode.com/problems/add-two-numbers/</t>
  </si>
  <si>
    <t>2 -&gt; 4 -&gt; 3 + 5 -&gt; 6 -&gt; 4</t>
  </si>
  <si>
    <t>7 -&gt; 0 -&gt; 8</t>
  </si>
  <si>
    <t>Add digit by digit with carry.</t>
  </si>
  <si>
    <t>Sort a linked list</t>
  </si>
  <si>
    <t>sort_a_linked_list.java</t>
  </si>
  <si>
    <t>4 -&gt; 2 -&gt; 1 -&gt; 3</t>
  </si>
  <si>
    <t>Use merge sort for linked lists.</t>
  </si>
  <si>
    <t>Find intersection of two linked lists</t>
  </si>
  <si>
    <t>find_intersection_of_two_linked_lists.java</t>
  </si>
  <si>
    <t>https://leetcode.com/problems/intersection-of-two-linked-lists/</t>
  </si>
  <si>
    <t>1 -&gt; 2 -&gt; 3 -&gt; 4, 9 -&gt; 3 -&gt; 4</t>
  </si>
  <si>
    <t>node 3</t>
  </si>
  <si>
    <t>Switch heads when pointers reach the end.</t>
  </si>
  <si>
    <t>Stack &amp; Queue</t>
  </si>
  <si>
    <t>Implement stack using array</t>
  </si>
  <si>
    <t>implement_stack_using_array.java</t>
  </si>
  <si>
    <t>push/pop gives 3,2,1</t>
  </si>
  <si>
    <t>Maintain a top index.</t>
  </si>
  <si>
    <t>Implement queue using array</t>
  </si>
  <si>
    <t>implement_queue_using_array.java</t>
  </si>
  <si>
    <t>dequeue gives 1,2,3</t>
  </si>
  <si>
    <t>Maintain front/rear indices or circular storage.</t>
  </si>
  <si>
    <t>Implement stack using linked list</t>
  </si>
  <si>
    <t>implement_stack_using_linked_list.java</t>
  </si>
  <si>
    <t>Push and pop at the head.</t>
  </si>
  <si>
    <t>Implement queue using linked list</t>
  </si>
  <si>
    <t>implement_queue_using_linked_list.java</t>
  </si>
  <si>
    <t>Maintain front and rear pointers.</t>
  </si>
  <si>
    <t>Implement stack using queues</t>
  </si>
  <si>
    <t>implement_stack_using_queues.java</t>
  </si>
  <si>
    <t>push 1,2,3 then pop</t>
  </si>
  <si>
    <t>3,2,1</t>
  </si>
  <si>
    <t>Use one or two queues to simulate LIFO.</t>
  </si>
  <si>
    <t>Implement queue using stacks</t>
  </si>
  <si>
    <t>implement_queue_using_stacks.java</t>
  </si>
  <si>
    <t>enqueue 1,2,3 then dequeue</t>
  </si>
  <si>
    <t>1,2,3</t>
  </si>
  <si>
    <t>Use input and output stacks.</t>
  </si>
  <si>
    <t>Valid Parentheses</t>
  </si>
  <si>
    <t>valid_parentheses.java</t>
  </si>
  <si>
    <t>https://leetcode.com/problems/valid-parentheses/</t>
  </si>
  <si>
    <t>()[]{}</t>
  </si>
  <si>
    <t>Push opening brackets and match closing brackets.</t>
  </si>
  <si>
    <t>Min Stack</t>
  </si>
  <si>
    <t>min_stack.java</t>
  </si>
  <si>
    <t>https://leetcode.com/problems/min-stack/</t>
  </si>
  <si>
    <t>push 5,3,7; getMin</t>
  </si>
  <si>
    <t>Store current minimum along with stack values.</t>
  </si>
  <si>
    <t>Next Greater Element</t>
  </si>
  <si>
    <t>next_greater_element.java</t>
  </si>
  <si>
    <t>https://leetcode.com/problems/next-greater-element-i/</t>
  </si>
  <si>
    <t>[4,5,2,25]</t>
  </si>
  <si>
    <t>[5,25,25,-1]</t>
  </si>
  <si>
    <t>Use a monotonic decreasing stack.</t>
  </si>
  <si>
    <t>Next Smaller Element</t>
  </si>
  <si>
    <t>next_smaller_element.java</t>
  </si>
  <si>
    <t>[2,2,-1,-1]</t>
  </si>
  <si>
    <t>Use a monotonic increasing stack.</t>
  </si>
  <si>
    <t>Stock Span Problem</t>
  </si>
  <si>
    <t>stock_span_problem.java</t>
  </si>
  <si>
    <t>[100,80,60,70,60,75,85]</t>
  </si>
  <si>
    <t>[1,1,1,2,1,4,6]</t>
  </si>
  <si>
    <t>Maintain a stack of indices with decreasing prices.</t>
  </si>
  <si>
    <t>Daily Temperatures</t>
  </si>
  <si>
    <t>daily_temperatures.java</t>
  </si>
  <si>
    <t>https://leetcode.com/problems/daily-temperatures/</t>
  </si>
  <si>
    <t>[73,74,75,71,69,72,76,73]</t>
  </si>
  <si>
    <t>[1,1,4,2,1,1,0,0]</t>
  </si>
  <si>
    <t>Use a monotonic stack of unresolved indices.</t>
  </si>
  <si>
    <t>Largest Rectangle in Histogram</t>
  </si>
  <si>
    <t>largest_rectangle_in_histogram.java</t>
  </si>
  <si>
    <t>https://leetcode.com/problems/largest-rectangle-in-histogram/</t>
  </si>
  <si>
    <t>[2,1,5,6,2,3]</t>
  </si>
  <si>
    <t>10</t>
  </si>
  <si>
    <t>Use a monotonic stack of bar indices.</t>
  </si>
  <si>
    <t>Evaluate Reverse Polish Notation</t>
  </si>
  <si>
    <t>evaluate_reverse_polish_notation.java</t>
  </si>
  <si>
    <t>https://leetcode.com/problems/evaluate-reverse-polish-notation/</t>
  </si>
  <si>
    <t>["2","1","+","3","*"]</t>
  </si>
  <si>
    <t>Push operands and apply operators.</t>
  </si>
  <si>
    <t>Sliding Window Maximum</t>
  </si>
  <si>
    <t>sliding_window_maximum.java</t>
  </si>
  <si>
    <t>https://leetcode.com/problems/sliding-window-maximum/</t>
  </si>
  <si>
    <t>[1,3,-1,-3,5,3,6,7], k=3</t>
  </si>
  <si>
    <t>[3,3,5,5,6,7]</t>
  </si>
  <si>
    <t>Use a decreasing deque of indices.</t>
  </si>
  <si>
    <t>Recursion &amp; Backtracking</t>
  </si>
  <si>
    <t>Print numbers using recursion</t>
  </si>
  <si>
    <t>print_numbers_using_recursion.java</t>
  </si>
  <si>
    <t>n=5</t>
  </si>
  <si>
    <t>1 2 3 4 5</t>
  </si>
  <si>
    <t>Print n after recursively processing n-1.</t>
  </si>
  <si>
    <t>Calculate factorial</t>
  </si>
  <si>
    <t>calculate_factorial.java</t>
  </si>
  <si>
    <t>120</t>
  </si>
  <si>
    <t>Base case n&lt;=1; multiply by factorial(n-1).</t>
  </si>
  <si>
    <t>Calculate Fibonacci</t>
  </si>
  <si>
    <t>calculate_fibonacci.java</t>
  </si>
  <si>
    <t>n=7</t>
  </si>
  <si>
    <t>13</t>
  </si>
  <si>
    <t>Use recursion for practice; later optimize with memoization.</t>
  </si>
  <si>
    <t>Reverse a string recursively</t>
  </si>
  <si>
    <t>reverse_a_string_recursively.java</t>
  </si>
  <si>
    <t>Swap ends and recurse inward.</t>
  </si>
  <si>
    <t>Check palindrome recursively</t>
  </si>
  <si>
    <t>check_palindrome_recursively.java</t>
  </si>
  <si>
    <t>Compare ends and recurse inward.</t>
  </si>
  <si>
    <t>Sum of digits using recursion</t>
  </si>
  <si>
    <t>sum_of_digits_using_recursion.java</t>
  </si>
  <si>
    <t>12345</t>
  </si>
  <si>
    <t>Add last digit to the recursive result.</t>
  </si>
  <si>
    <t>Calculate power recursively</t>
  </si>
  <si>
    <t>calculate_power_recursively.java</t>
  </si>
  <si>
    <t>2^10</t>
  </si>
  <si>
    <t>1024</t>
  </si>
  <si>
    <t>Use exponentiation by squaring.</t>
  </si>
  <si>
    <t>Generate all subsequences</t>
  </si>
  <si>
    <t>generate_all_subsequences.java</t>
  </si>
  <si>
    <t>[[],[1],[2],[3],[1,2],[1,3],[2,3],[1,2,3]]</t>
  </si>
  <si>
    <t>At each index choose include or exclude.</t>
  </si>
  <si>
    <t>O(2^n)</t>
  </si>
  <si>
    <t>Generate all subsets</t>
  </si>
  <si>
    <t>generate_all_subsets.java</t>
  </si>
  <si>
    <t>[[],[1],[2],[1,2]]</t>
  </si>
  <si>
    <t>Backtrack with include/exclude choices.</t>
  </si>
  <si>
    <t>Generate all permutations</t>
  </si>
  <si>
    <t>generate_all_permutations.java</t>
  </si>
  <si>
    <t>6 permutations</t>
  </si>
  <si>
    <t>Swap each candidate into the current position.</t>
  </si>
  <si>
    <t>Combination Sum</t>
  </si>
  <si>
    <t>combination_sum.java</t>
  </si>
  <si>
    <t>https://leetcode.com/problems/combination-sum/</t>
  </si>
  <si>
    <t>candidates=[2,3,6,7], target=7</t>
  </si>
  <si>
    <t>[[2,2,3],[7]]</t>
  </si>
  <si>
    <t>Backtrack while remaining target is non-negative.</t>
  </si>
  <si>
    <t>Letter combinations of a phone number</t>
  </si>
  <si>
    <t>letter_combinations_of_a_phone_number.java</t>
  </si>
  <si>
    <t>https://leetcode.com/problems/letter-combinations-of-a-phone-number/</t>
  </si>
  <si>
    <t>23</t>
  </si>
  <si>
    <t>['ad','ae','af','bd',...]</t>
  </si>
  <si>
    <t>Map each digit to letters and backtrack.</t>
  </si>
  <si>
    <t>Generate valid parentheses</t>
  </si>
  <si>
    <t>generate_valid_parentheses.java</t>
  </si>
  <si>
    <t>https://leetcode.com/problems/generate-parentheses/</t>
  </si>
  <si>
    <t>n=3</t>
  </si>
  <si>
    <t>((())),"(()())",...</t>
  </si>
  <si>
    <t>Track open/close counts and only add valid choices.</t>
  </si>
  <si>
    <t>N-Queens</t>
  </si>
  <si>
    <t>n_queens.java</t>
  </si>
  <si>
    <t>https://leetcode.com/problems/n-queens/</t>
  </si>
  <si>
    <t>n=4</t>
  </si>
  <si>
    <t>2 solutions</t>
  </si>
  <si>
    <t>Place one queen per row and check columns/diagonals.</t>
  </si>
  <si>
    <t>Sudoku Solver</t>
  </si>
  <si>
    <t>sudoku_solver.java</t>
  </si>
  <si>
    <t>https://leetcode.com/problems/sudoku-solver/</t>
  </si>
  <si>
    <t>4x4 Sudoku board</t>
  </si>
  <si>
    <t>Solved valid Sudoku</t>
  </si>
  <si>
    <t>Try valid digits and backtrack on conflicts.</t>
  </si>
  <si>
    <t>Trees / BST</t>
  </si>
  <si>
    <t>Create a binary tree</t>
  </si>
  <si>
    <t>create_a_binary_tree.java</t>
  </si>
  <si>
    <t>root with children 2 and 3</t>
  </si>
  <si>
    <t>Build nodes and connect left/right children.</t>
  </si>
  <si>
    <t>Preorder traversal</t>
  </si>
  <si>
    <t>preorder_traversal.java</t>
  </si>
  <si>
    <t>Visit root, left, then right.</t>
  </si>
  <si>
    <t>Inorder traversal</t>
  </si>
  <si>
    <t>inorder_traversal.java</t>
  </si>
  <si>
    <t>[2,1,3]</t>
  </si>
  <si>
    <t>Visit left, root, then right.</t>
  </si>
  <si>
    <t>Postorder traversal</t>
  </si>
  <si>
    <t>postorder_traversal.java</t>
  </si>
  <si>
    <t>[2,3,1]</t>
  </si>
  <si>
    <t>Visit left, right, then root.</t>
  </si>
  <si>
    <t>Level-order traversal</t>
  </si>
  <si>
    <t>level_order_traversal.java</t>
  </si>
  <si>
    <t>[[1],[2,3],[4,5]]</t>
  </si>
  <si>
    <t>Use a queue level by level.</t>
  </si>
  <si>
    <t>Maximum depth of binary tree</t>
  </si>
  <si>
    <t>maximum_depth_of_binary_tree.java</t>
  </si>
  <si>
    <t>https://leetcode.com/problems/maximum-depth-of-binary-tree/</t>
  </si>
  <si>
    <t>[3,9,20,null,null,15,7]</t>
  </si>
  <si>
    <t>Depth = 1 + max(left depth, right depth).</t>
  </si>
  <si>
    <t>Minimum depth of binary tree</t>
  </si>
  <si>
    <t>minimum_depth_of_binary_tree.java</t>
  </si>
  <si>
    <t>Find the shortest root-to-leaf path.</t>
  </si>
  <si>
    <t>Count nodes in a binary tree</t>
  </si>
  <si>
    <t>count_nodes_in_a_binary_tree.java</t>
  </si>
  <si>
    <t>Return 1 plus counts of both subtrees.</t>
  </si>
  <si>
    <t>Count leaf nodes</t>
  </si>
  <si>
    <t>count_leaf_nodes.java</t>
  </si>
  <si>
    <t>Count nodes with no children.</t>
  </si>
  <si>
    <t>Check if two trees are identical</t>
  </si>
  <si>
    <t>check_if_two_trees_are_identical.java</t>
  </si>
  <si>
    <t>[1,2,3] vs [1,2,3]</t>
  </si>
  <si>
    <t>Compare values and both subtrees recursively.</t>
  </si>
  <si>
    <t>Invert a binary tree</t>
  </si>
  <si>
    <t>invert_a_binary_tree.java</t>
  </si>
  <si>
    <t>https://leetcode.com/problems/invert-binary-tree/</t>
  </si>
  <si>
    <t>[4,2,7,1,3,6,9]</t>
  </si>
  <si>
    <t>[4,7,2,9,6,3,1]</t>
  </si>
  <si>
    <t>Swap left and right recursively.</t>
  </si>
  <si>
    <t>Check whether tree is balanced</t>
  </si>
  <si>
    <t>check_whether_tree_is_balanced.java</t>
  </si>
  <si>
    <t>https://leetcode.com/problems/balanced-binary-tree/</t>
  </si>
  <si>
    <t>Return height and detect imbalance bottom-up.</t>
  </si>
  <si>
    <t>Diameter of binary tree</t>
  </si>
  <si>
    <t>diameter_of_binary_tree.java</t>
  </si>
  <si>
    <t>https://leetcode.com/problems/diameter-of-binary-tree/</t>
  </si>
  <si>
    <t>Track max left height + right height.</t>
  </si>
  <si>
    <t>Maximum path sum</t>
  </si>
  <si>
    <t>maximum_path_sum.java</t>
  </si>
  <si>
    <t>https://leetcode.com/problems/binary-tree-maximum-path-sum/</t>
  </si>
  <si>
    <t>[-10,9,20,null,null,15,7]</t>
  </si>
  <si>
    <t>Compute best downward path and update global maximum.</t>
  </si>
  <si>
    <t>Zigzag level-order traversal</t>
  </si>
  <si>
    <t>zigzag_level_order_traversal.java</t>
  </si>
  <si>
    <t>https://leetcode.com/problems/binary-tree-zigzag-level-order-traversal/</t>
  </si>
  <si>
    <t>[[3],[20,9,15,7]]</t>
  </si>
  <si>
    <t>Alternate traversal direction at each level.</t>
  </si>
  <si>
    <t>Right view of binary tree</t>
  </si>
  <si>
    <t>right_view_of_binary_tree.java</t>
  </si>
  <si>
    <t>https://leetcode.com/problems/binary-tree-right-side-view/</t>
  </si>
  <si>
    <t>[1,2,3,null,5,null,4]</t>
  </si>
  <si>
    <t>[1,3,4]</t>
  </si>
  <si>
    <t>Take the last visible node at each level.</t>
  </si>
  <si>
    <t>Left view of binary tree</t>
  </si>
  <si>
    <t>left_view_of_binary_tree.java</t>
  </si>
  <si>
    <t>Take the first visible node at each level.</t>
  </si>
  <si>
    <t>Boundary traversal</t>
  </si>
  <si>
    <t>boundary_traversal.java</t>
  </si>
  <si>
    <t>[1,2,3,4,5,null,6,7]</t>
  </si>
  <si>
    <t>boundary order</t>
  </si>
  <si>
    <t>Collect root, left boundary, leaves, and reversed right boundary.</t>
  </si>
  <si>
    <t>Vertical order traversal</t>
  </si>
  <si>
    <t>vertical_order_traversal.java</t>
  </si>
  <si>
    <t>vertical columns</t>
  </si>
  <si>
    <t>Group nodes by horizontal distance.</t>
  </si>
  <si>
    <t>Lowest Common Ancestor</t>
  </si>
  <si>
    <t>lowest_common_ancestor.java</t>
  </si>
  <si>
    <t>https://leetcode.com/problems/lowest-common-ancestor-of-a-binary-tree/</t>
  </si>
  <si>
    <t>root=[3,5,1,6,2,0,8,null,null,7,4], p=5,q=1</t>
  </si>
  <si>
    <t>Return when either target is found and combine subtree results.</t>
  </si>
  <si>
    <t>Validate Binary Search Tree</t>
  </si>
  <si>
    <t>validate_binary_search_tree.java</t>
  </si>
  <si>
    <t>https://leetcode.com/problems/validate-binary-search-tree/</t>
  </si>
  <si>
    <t>Carry valid lower and upper bounds.</t>
  </si>
  <si>
    <t>Search in BST</t>
  </si>
  <si>
    <t>search_in_bst.java</t>
  </si>
  <si>
    <t>https://leetcode.com/problems/search-in-a-binary-search-tree/</t>
  </si>
  <si>
    <t>[4,2,7,1,3] target=3</t>
  </si>
  <si>
    <t>Choose left or right based on target.</t>
  </si>
  <si>
    <t>Insert into BST</t>
  </si>
  <si>
    <t>insert_into_bst.java</t>
  </si>
  <si>
    <t>https://leetcode.com/problems/insert-into-a-binary-search-tree/</t>
  </si>
  <si>
    <t>[4,2,7,1,3] insert 5</t>
  </si>
  <si>
    <t>[4,2,7,1,3,5]</t>
  </si>
  <si>
    <t>Recursively find the correct null position.</t>
  </si>
  <si>
    <t>Delete node from BST</t>
  </si>
  <si>
    <t>delete_node_from_bst.java</t>
  </si>
  <si>
    <t>https://leetcode.com/problems/delete-node-in-a-bst/</t>
  </si>
  <si>
    <t>[5,3,6,2,4] delete 3</t>
  </si>
  <si>
    <t>BST after deletion</t>
  </si>
  <si>
    <t>Handle zero/one child and replace two-child node with successor.</t>
  </si>
  <si>
    <t>Kth smallest element in BST</t>
  </si>
  <si>
    <t>kth_smallest_element_in_bst.java</t>
  </si>
  <si>
    <t>https://leetcode.com/problems/kth-smallest-element-in-a-bst/</t>
  </si>
  <si>
    <t>[5,3,6,2,4,1] k=3</t>
  </si>
  <si>
    <t>Inorder traversal visits BST nodes in sorted order.</t>
  </si>
  <si>
    <t>Heap / Priority Queue</t>
  </si>
  <si>
    <t>Implement a Min Heap</t>
  </si>
  <si>
    <t>implement_a_min_heap.java</t>
  </si>
  <si>
    <t>https://www.geeksforgeeks.org/problems/implementation-of-priority-queue-using-binary-heap/1</t>
  </si>
  <si>
    <t>[3,1,6,5,2,4]</t>
  </si>
  <si>
    <t>[1,2,4,5,3,6] min-heap</t>
  </si>
  <si>
    <t>Maintain heap order while bubbling up/down.</t>
  </si>
  <si>
    <t>Implement a Max Heap</t>
  </si>
  <si>
    <t>implement_a_max_heap.java</t>
  </si>
  <si>
    <t>[6,5,4,1,2,3] max-heap</t>
  </si>
  <si>
    <t>Maintain reverse heap order while bubbling up/down.</t>
  </si>
  <si>
    <t>Find Kth largest element</t>
  </si>
  <si>
    <t>find_kth_largest_element.java</t>
  </si>
  <si>
    <t>https://leetcode.com/problems/kth-largest-element-in-an-array/</t>
  </si>
  <si>
    <t>[3,2,1,5,6,4], k=2</t>
  </si>
  <si>
    <t>Use a min-heap of size k.</t>
  </si>
  <si>
    <t>Find Kth smallest element</t>
  </si>
  <si>
    <t>find_kth_smallest_element.java</t>
  </si>
  <si>
    <t>Use a max-heap of size k.</t>
  </si>
  <si>
    <t>Top K frequent elements</t>
  </si>
  <si>
    <t>Count and keep the k highest frequencies.</t>
  </si>
  <si>
    <t>Merge K sorted arrays</t>
  </si>
  <si>
    <t>merge_k_sorted_arrays.java</t>
  </si>
  <si>
    <t>[[1,4,5],[1,3,4],[2,6]]</t>
  </si>
  <si>
    <t>[1,1,2,3,4,4,5,6]</t>
  </si>
  <si>
    <t>Use a min-heap containing the current element from each array.</t>
  </si>
  <si>
    <t>Merge K sorted linked lists</t>
  </si>
  <si>
    <t>merge_k_sorted_linked_lists.java</t>
  </si>
  <si>
    <t>https://leetcode.com/problems/merge-k-sorted-lists/</t>
  </si>
  <si>
    <t>[1,4,5],[1,3,4],[2,6]</t>
  </si>
  <si>
    <t>Put each list head into a min-heap.</t>
  </si>
  <si>
    <t>Find median from a data stream</t>
  </si>
  <si>
    <t>find_median_from_a_data_stream.java</t>
  </si>
  <si>
    <t>https://leetcode.com/problems/find-median-from-data-stream/</t>
  </si>
  <si>
    <t>[1,2,3] then add 4</t>
  </si>
  <si>
    <t>2.5</t>
  </si>
  <si>
    <t>Use two heaps: max-heap left and min-heap right.</t>
  </si>
  <si>
    <t>K closest points to origin</t>
  </si>
  <si>
    <t>k_closest_points_to_origin.java</t>
  </si>
  <si>
    <t>https://leetcode.com/problems/k-closest-points-to-origin/</t>
  </si>
  <si>
    <t>[[1,3],[2,2],[3,1]], k=2</t>
  </si>
  <si>
    <t>[[1,3],[2,2]]</t>
  </si>
  <si>
    <t>Compare squared distances and maintain k points.</t>
  </si>
  <si>
    <t>Task Scheduler</t>
  </si>
  <si>
    <t>task_scheduler.java</t>
  </si>
  <si>
    <t>https://leetcode.com/problems/task-scheduler/</t>
  </si>
  <si>
    <t>tasks=[A,A,A,B,B,B], n=2</t>
  </si>
  <si>
    <t>8</t>
  </si>
  <si>
    <t>Use frequency counts and a max-heap.</t>
  </si>
  <si>
    <t>Graphs</t>
  </si>
  <si>
    <t>Represent a graph using adjacency matrix</t>
  </si>
  <si>
    <t>represent_a_graph_using_adjacency_matrix.java</t>
  </si>
  <si>
    <t>https://www.geeksforgeeks.org/graph-and-its-representations/</t>
  </si>
  <si>
    <t>V=3, edges=(0,1),(1,2)</t>
  </si>
  <si>
    <t>3x3 adjacency matrix</t>
  </si>
  <si>
    <t>Create VxV and mark edges.</t>
  </si>
  <si>
    <t>O(V+E)</t>
  </si>
  <si>
    <t>Represent a graph using adjacency list</t>
  </si>
  <si>
    <t>represent_a_graph_using_adjacency_list.java</t>
  </si>
  <si>
    <t>0:[1],1:[0,2],2:[1]</t>
  </si>
  <si>
    <t>Create a list of neighbors for every vertex.</t>
  </si>
  <si>
    <t>Breadth First Search — BFS</t>
  </si>
  <si>
    <t>breadth_first_search___bfs.java</t>
  </si>
  <si>
    <t>https://www.geeksforgeeks.org/problems/bfs-traversal-of-graph/1</t>
  </si>
  <si>
    <t>V=5, edges=(0,1),(0,2),(1,3),(2,4), start=0</t>
  </si>
  <si>
    <t>[0,1,2,3,4]</t>
  </si>
  <si>
    <t>Use a queue and visited array.</t>
  </si>
  <si>
    <t>Depth First Search — DFS</t>
  </si>
  <si>
    <t>depth_first_search___dfs.java</t>
  </si>
  <si>
    <t>https://www.geeksforgeeks.org/problems/depth-first-traversal-for-a-graph/1</t>
  </si>
  <si>
    <t>same graph, start=0</t>
  </si>
  <si>
    <t>[0,1,3,2,4]</t>
  </si>
  <si>
    <t>Use recursion or an explicit stack.</t>
  </si>
  <si>
    <t>Number of connected components</t>
  </si>
  <si>
    <t>number_of_connected_components.java</t>
  </si>
  <si>
    <t>https://www.geeksforgeeks.org/problems/number-of-provinces/1</t>
  </si>
  <si>
    <t>V=5, edges=(0,1),(1,2),(3,4)</t>
  </si>
  <si>
    <t>2 components</t>
  </si>
  <si>
    <t>Run DFS/BFS from each unvisited vertex.</t>
  </si>
  <si>
    <t>Number of islands</t>
  </si>
  <si>
    <t>number_of_islands.java</t>
  </si>
  <si>
    <t>https://leetcode.com/problems/number-of-islands/</t>
  </si>
  <si>
    <t>grid=[[1,1,0],[0,1,0],[1,0,1]]</t>
  </si>
  <si>
    <t>DFS/BFS each unvisited land cell.</t>
  </si>
  <si>
    <t>Flood Fill</t>
  </si>
  <si>
    <t>flood_fill.java</t>
  </si>
  <si>
    <t>https://leetcode.com/problems/flood-fill/</t>
  </si>
  <si>
    <t>image=[[1,1,1],[1,1,0],[1,0,1]], sr=1,sc=1,color=2</t>
  </si>
  <si>
    <t>[[2,2,2],[2,2,0],[2,0,1]]</t>
  </si>
  <si>
    <t>DFS/BFS from the starting cell and recolor matching cells.</t>
  </si>
  <si>
    <t>Detect cycle in an undirected graph</t>
  </si>
  <si>
    <t>detect_cycle_in_an_undirected_graph.java</t>
  </si>
  <si>
    <t>https://leetcode.com/problems/graph-valid-tree/</t>
  </si>
  <si>
    <t>edges=(0,1),(1,2),(2,0)</t>
  </si>
  <si>
    <t>Track parent during DFS/BFS.</t>
  </si>
  <si>
    <t>Detect cycle in a directed graph</t>
  </si>
  <si>
    <t>detect_cycle_in_a_directed_graph.java</t>
  </si>
  <si>
    <t>https://www.geeksforgeeks.org/problems/detect-cycle-in-a-directed-graph/1</t>
  </si>
  <si>
    <t>edges=0-&gt;1,1-&gt;2,2-&gt;0</t>
  </si>
  <si>
    <t>Use a recursion-stack/3-state array.</t>
  </si>
  <si>
    <t>Topological Sort using DFS</t>
  </si>
  <si>
    <t>topological_sort_using_dfs.java</t>
  </si>
  <si>
    <t>https://www.geeksforgeeks.org/problems/topological-sort/1</t>
  </si>
  <si>
    <t>0-&gt;1,0-&gt;2,1-&gt;3,2-&gt;3</t>
  </si>
  <si>
    <t>[0,2,1,3]</t>
  </si>
  <si>
    <t>Push a node after visiting all dependencies.</t>
  </si>
  <si>
    <t>Topological Sort using BFS</t>
  </si>
  <si>
    <t>topological_sort_using_bfs.java</t>
  </si>
  <si>
    <t>same DAG</t>
  </si>
  <si>
    <t>Use indegrees and Kahn's algorithm.</t>
  </si>
  <si>
    <t>Course Schedule</t>
  </si>
  <si>
    <t>course_schedule.java</t>
  </si>
  <si>
    <t>https://leetcode.com/problems/course-schedule/</t>
  </si>
  <si>
    <t>courses=2, prereq=[[1,0]]</t>
  </si>
  <si>
    <t>Check whether prerequisite graph has a cycle.</t>
  </si>
  <si>
    <t>Shortest path in an unweighted graph</t>
  </si>
  <si>
    <t>shortest_path_in_an_unweighted_graph.java</t>
  </si>
  <si>
    <t>https://leetcode.com/problems/shortest-path-in-binary-matrix/</t>
  </si>
  <si>
    <t>edges 0-1,1-2, start=0</t>
  </si>
  <si>
    <t>[0,1,2]</t>
  </si>
  <si>
    <t>Use BFS from the source.</t>
  </si>
  <si>
    <t>Dijkstra's Algorithm</t>
  </si>
  <si>
    <t>dijkstra_s_algorithm.java</t>
  </si>
  <si>
    <t>https://leetcode.com/problems/network-delay-time/</t>
  </si>
  <si>
    <t>graph 0-&gt;1(4),0-&gt;2(1),2-&gt;1(2)</t>
  </si>
  <si>
    <t>distance to 1 = 3</t>
  </si>
  <si>
    <t>Relax edges using a min-priority queue.</t>
  </si>
  <si>
    <t>Bellman-Ford Algorithm</t>
  </si>
  <si>
    <t>bellman_ford_algorithm.java</t>
  </si>
  <si>
    <t>https://www.geeksforgeeks.org/problems/negative-weight-cycle3504/1</t>
  </si>
  <si>
    <t>V=3, edges 0-&gt;1=4,0-&gt;2=5</t>
  </si>
  <si>
    <t>shortest distances</t>
  </si>
  <si>
    <t>Relax all edges V-1 times and check one more time.</t>
  </si>
  <si>
    <t>Floyd-Warshall Algorithm</t>
  </si>
  <si>
    <t>floyd_warshall_algorithm.java</t>
  </si>
  <si>
    <t>https://www.geeksforgeeks.org/problems/implementing-floyd-warshall2042/1</t>
  </si>
  <si>
    <t>graph with negative edge</t>
  </si>
  <si>
    <t>shortest distances / detect negative cycle</t>
  </si>
  <si>
    <t>Try every vertex as an intermediate node.</t>
  </si>
  <si>
    <t>Minimum Spanning Tree — Prim's Algorithm</t>
  </si>
  <si>
    <t>minimum_spanning_tree___prim_s_algorithm.java</t>
  </si>
  <si>
    <t>https://www.geeksforgeeks.org/problems/minimum-spanning-tree/1</t>
  </si>
  <si>
    <t>graph 3x3</t>
  </si>
  <si>
    <t>all-pairs shortest path matrix</t>
  </si>
  <si>
    <t>Grow the MST using the cheapest outgoing edge.</t>
  </si>
  <si>
    <t>Minimum Spanning Tree — Kruskal's Algorithm</t>
  </si>
  <si>
    <t>minimum_spanning_tree___kruskal_s_algorithm.java</t>
  </si>
  <si>
    <t>weighted graph</t>
  </si>
  <si>
    <t>MST total weight</t>
  </si>
  <si>
    <t>Sort edges and use Union-Find.</t>
  </si>
  <si>
    <t>Word Ladder</t>
  </si>
  <si>
    <t>word_ladder.java</t>
  </si>
  <si>
    <t>https://leetcode.com/problems/word-ladder/</t>
  </si>
  <si>
    <t>BFS through one-letter transformations.</t>
  </si>
  <si>
    <t>Rotten Oranges</t>
  </si>
  <si>
    <t>rotten_oranges.java</t>
  </si>
  <si>
    <t>https://leetcode.com/problems/rotting-oranges/</t>
  </si>
  <si>
    <t>hit,"hot","dot","dog","cog"</t>
  </si>
  <si>
    <t>Multi-source BFS from all rotten oranges.</t>
  </si>
  <si>
    <t>Greedy</t>
  </si>
  <si>
    <t>Assign Cookies</t>
  </si>
  <si>
    <t>assign_cookies.java</t>
  </si>
  <si>
    <t>https://leetcode.com/problems/assign-cookies/</t>
  </si>
  <si>
    <t>grid=[[2,1,1],[1,1,0],[0,1,1]]</t>
  </si>
  <si>
    <t>4 minutes</t>
  </si>
  <si>
    <t>Sort both arrays and greedily match smallest suitable cookie.</t>
  </si>
  <si>
    <t>O(n log n)</t>
  </si>
  <si>
    <t>Lemonade Change</t>
  </si>
  <si>
    <t>lemonade_change.java</t>
  </si>
  <si>
    <t>g=[1,2,3], s=[1,1]</t>
  </si>
  <si>
    <t>Track available $5 and $10 bills.</t>
  </si>
  <si>
    <t>Jump Game</t>
  </si>
  <si>
    <t>jump_game.java</t>
  </si>
  <si>
    <t>https://leetcode.com/problems/jump-game/</t>
  </si>
  <si>
    <t>[5,5,5,10,20]</t>
  </si>
  <si>
    <t>Track the farthest reachable index.</t>
  </si>
  <si>
    <t>Jump Game II</t>
  </si>
  <si>
    <t>jump_game_ii.java</t>
  </si>
  <si>
    <t>https://leetcode.com/problems/jump-game-ii/</t>
  </si>
  <si>
    <t>[2,3,1,1,4]</t>
  </si>
  <si>
    <t>Expand the current reachable range greedily.</t>
  </si>
  <si>
    <t>Gas Station</t>
  </si>
  <si>
    <t>gas_station.java</t>
  </si>
  <si>
    <t>https://leetcode.com/problems/gas-station/</t>
  </si>
  <si>
    <t>2 jumps</t>
  </si>
  <si>
    <t>Reset start when cumulative gas becomes negative.</t>
  </si>
  <si>
    <t>Activity Selection</t>
  </si>
  <si>
    <t>activity_selection.java</t>
  </si>
  <si>
    <t>https://www.geeksforgeeks.org/problems/activity-selection-1587115620/1</t>
  </si>
  <si>
    <t>gas=[1,2,3,4,5], cost=[3,4,5,1,2]</t>
  </si>
  <si>
    <t>Sort by finish time and select compatible activities.</t>
  </si>
  <si>
    <t>Fractional Knapsack</t>
  </si>
  <si>
    <t>fractional_knapsack.java</t>
  </si>
  <si>
    <t>https://www.geeksforgeeks.org/problems/fractional-knapsack-1587115620/1</t>
  </si>
  <si>
    <t>activities=(1,2),(3,4),(0,6),(5,7),(8,9)</t>
  </si>
  <si>
    <t>3 activities</t>
  </si>
  <si>
    <t>Sort by value/weight ratio.</t>
  </si>
  <si>
    <t>Job Sequencing Problem</t>
  </si>
  <si>
    <t>job_sequencing_problem.java</t>
  </si>
  <si>
    <t>https://www.geeksforgeeks.org/problems/job-sequencing-problem-1587115620/1</t>
  </si>
  <si>
    <t>values=[60,100,120], weights=[10,20,30], W=50</t>
  </si>
  <si>
    <t>240</t>
  </si>
  <si>
    <t>Schedule high-profit jobs in latest available slots.</t>
  </si>
  <si>
    <t>Minimum number of coins</t>
  </si>
  <si>
    <t>minimum_number_of_coins.java</t>
  </si>
  <si>
    <t>https://www.geeksforgeeks.org/problems/number-of-coins1824/1</t>
  </si>
  <si>
    <t>jobs with deadlines/profits</t>
  </si>
  <si>
    <t>maximum profit schedule</t>
  </si>
  <si>
    <t>Greedily take largest coins when the denomination system allows it.</t>
  </si>
  <si>
    <t>Merge Overlapping Intervals</t>
  </si>
  <si>
    <t>merge_overlapping_intervals.java</t>
  </si>
  <si>
    <t>https://leetcode.com/problems/merge-intervals/</t>
  </si>
  <si>
    <t>coins=[1,2,5], amount=11</t>
  </si>
  <si>
    <t>Sort by start and merge overlapping ranges.</t>
  </si>
  <si>
    <t>Dynamic Programming</t>
  </si>
  <si>
    <t>Fibonacci using DP</t>
  </si>
  <si>
    <t>fibonacci_using_dp.java</t>
  </si>
  <si>
    <t>https://www.geeksforgeeks.org/problems/fibonacci-number-1587115620/1</t>
  </si>
  <si>
    <t>[[1,3],[2,6],[8,10],[15,18]]</t>
  </si>
  <si>
    <t>[[1,6],[8,10],[15,18]]</t>
  </si>
  <si>
    <t>Store previously computed Fibonacci values.</t>
  </si>
  <si>
    <t>O(n^2)</t>
  </si>
  <si>
    <t>Climbing Stairs</t>
  </si>
  <si>
    <t>climbing_stairs.java</t>
  </si>
  <si>
    <t>https://leetcode.com/problems/climbing-stairs/</t>
  </si>
  <si>
    <t>dp[i] = dp[i-1] + dp[i-2].</t>
  </si>
  <si>
    <t>Frog Jump</t>
  </si>
  <si>
    <t>frog_jump.java</t>
  </si>
  <si>
    <t>https://leetcode.com/problems/frog-jump/</t>
  </si>
  <si>
    <t>Try jumps of allowed sizes and memoize states.</t>
  </si>
  <si>
    <t>Maximum Sum of Non-Adjacent Elements</t>
  </si>
  <si>
    <t>maximum_sum_of_non_adjacent_elements.java</t>
  </si>
  <si>
    <t>https://leetcode.com/problems/house-robber/</t>
  </si>
  <si>
    <t>heights=[10,20,30,10]</t>
  </si>
  <si>
    <t>20</t>
  </si>
  <si>
    <t>Choose current plus dp[i-2] or skip current.</t>
  </si>
  <si>
    <t>House Robber</t>
  </si>
  <si>
    <t>house_robber.java</t>
  </si>
  <si>
    <t>[2,7,9,3,1]</t>
  </si>
  <si>
    <t>12</t>
  </si>
  <si>
    <t>Use the same non-adjacent maximum recurrence.</t>
  </si>
  <si>
    <t>House Robber II</t>
  </si>
  <si>
    <t>house_robber_ii.java</t>
  </si>
  <si>
    <t>https://leetcode.com/problems/house-robber-ii/</t>
  </si>
  <si>
    <t>Solve two linear cases: exclude first or exclude last.</t>
  </si>
  <si>
    <t>Best Time to Buy and Sell Stock</t>
  </si>
  <si>
    <t>best_time_to_buy_and_sell_stock.java</t>
  </si>
  <si>
    <t>https://leetcode.com/problems/best-time-to-buy-and-sell-stock/</t>
  </si>
  <si>
    <t>[2,3,2]</t>
  </si>
  <si>
    <t>Track minimum price and maximum profit.</t>
  </si>
  <si>
    <t>Coin Change</t>
  </si>
  <si>
    <t>coin_change.java</t>
  </si>
  <si>
    <t>https://leetcode.com/problems/coin-change/</t>
  </si>
  <si>
    <t>prices=[7,1,5,3,6,4]</t>
  </si>
  <si>
    <t>dp[amount] = minimum coins over all denominations.</t>
  </si>
  <si>
    <t>Coin Change II</t>
  </si>
  <si>
    <t>coin_change_ii.java</t>
  </si>
  <si>
    <t>https://leetcode.com/problems/coin-change-ii/</t>
  </si>
  <si>
    <t>Count combinations using coin-based DP.</t>
  </si>
  <si>
    <t>0/1 Knapsack</t>
  </si>
  <si>
    <t>0_1_knapsack.java</t>
  </si>
  <si>
    <t>https://www.geeksforgeeks.org/problems/0-1-knapsack-problem0945/1</t>
  </si>
  <si>
    <t>coins=[1,2,5], amount=5</t>
  </si>
  <si>
    <t>For each item choose take or skip.</t>
  </si>
  <si>
    <t>Unbounded Knapsack</t>
  </si>
  <si>
    <t>unbounded_knapsack.java</t>
  </si>
  <si>
    <t>https://www.geeksforgeeks.org/problems/knapsack-with-duplicate-items4201/1</t>
  </si>
  <si>
    <t>weights=[1,2,3], values=[6,10,12], W=5</t>
  </si>
  <si>
    <t>22</t>
  </si>
  <si>
    <t>Allow taking the same item multiple times.</t>
  </si>
  <si>
    <t>Subset Sum</t>
  </si>
  <si>
    <t>subset_sum.java</t>
  </si>
  <si>
    <t>https://www.geeksforgeeks.org/problems/subset-sum-problem-1611555638/1</t>
  </si>
  <si>
    <t>weights=[2,3,4], values=[40,50,60], W=6</t>
  </si>
  <si>
    <t>Track whether each sum is reachable.</t>
  </si>
  <si>
    <t>Partition Equal Subset Sum</t>
  </si>
  <si>
    <t>partition_equal_subset_sum.java</t>
  </si>
  <si>
    <t>https://leetcode.com/problems/partition-equal-subset-sum/</t>
  </si>
  <si>
    <t>nums=[2,3,7,8,10], target=11</t>
  </si>
  <si>
    <t>Reduce to subset sum of total/2.</t>
  </si>
  <si>
    <t>Count subsets with given sum</t>
  </si>
  <si>
    <t>count_subsets_with_given_sum.java</t>
  </si>
  <si>
    <t>https://www.geeksforgeeks.org/problems/perfect-sum-problem5633/1</t>
  </si>
  <si>
    <t>[1,5,11,5]</t>
  </si>
  <si>
    <t>DP counts ways to form each sum.</t>
  </si>
  <si>
    <t>Longest Common Subsequence</t>
  </si>
  <si>
    <t>longest_common_subsequence.java</t>
  </si>
  <si>
    <t>https://leetcode.com/problems/longest-common-subsequence/</t>
  </si>
  <si>
    <t>nums=[1,2,3], target=3</t>
  </si>
  <si>
    <t>2 subsets</t>
  </si>
  <si>
    <t>Match characters or take the better previous state.</t>
  </si>
  <si>
    <t>Longest Common Substring</t>
  </si>
  <si>
    <t>longest_common_substring.java</t>
  </si>
  <si>
    <t>https://www.geeksforgeeks.org/problems/longest-common-substring1452/1</t>
  </si>
  <si>
    <t>abcde,"ace"</t>
  </si>
  <si>
    <t>Reset length to zero when characters differ.</t>
  </si>
  <si>
    <t>Longest Increasing Subsequence</t>
  </si>
  <si>
    <t>longest_increasing_subsequence.java</t>
  </si>
  <si>
    <t>https://leetcode.com/problems/longest-increasing-subsequence/</t>
  </si>
  <si>
    <t>abc,"ab"</t>
  </si>
  <si>
    <t>Use DP or patience sorting.</t>
  </si>
  <si>
    <t>Longest Palindromic Subsequence</t>
  </si>
  <si>
    <t>longest_palindromic_subsequence.java</t>
  </si>
  <si>
    <t>[10,9,2,5,3,7,101,18]</t>
  </si>
  <si>
    <t>Use interval DP on matching endpoints.</t>
  </si>
  <si>
    <t>Edit Distance</t>
  </si>
  <si>
    <t>edit_distance.java</t>
  </si>
  <si>
    <t>https://leetcode.com/problems/edit-distance/</t>
  </si>
  <si>
    <t>bbbab</t>
  </si>
  <si>
    <t>Use insert, delete, and replace transitions.</t>
  </si>
  <si>
    <t>Minimum Path Sum</t>
  </si>
  <si>
    <t>minimum_path_sum.java</t>
  </si>
  <si>
    <t>https://leetcode.com/problems/minimum-path-sum/</t>
  </si>
  <si>
    <t>horse,"ros"</t>
  </si>
  <si>
    <t>Take minimum cost from top or left.</t>
  </si>
  <si>
    <t>Unique Paths</t>
  </si>
  <si>
    <t>unique_paths.java</t>
  </si>
  <si>
    <t>https://leetcode.com/problems/unique-paths/</t>
  </si>
  <si>
    <t>grid=[[1,3,1],[1,5,1],[4,2,1]]</t>
  </si>
  <si>
    <t>7</t>
  </si>
  <si>
    <t>dp[i][j] = dp[i-1][j] + dp[i][j-1].</t>
  </si>
  <si>
    <t>Unique Paths II</t>
  </si>
  <si>
    <t>unique_paths_ii.java</t>
  </si>
  <si>
    <t>https://leetcode.com/problems/unique-paths-ii/</t>
  </si>
  <si>
    <t>m=3,n=7</t>
  </si>
  <si>
    <t>28</t>
  </si>
  <si>
    <t>Same recurrence, but blocked cells have zero ways.</t>
  </si>
  <si>
    <t>Triangle</t>
  </si>
  <si>
    <t>triangle.java</t>
  </si>
  <si>
    <t>https://www.geeksforgeeks.org/problems/triangle-path-sum/1</t>
  </si>
  <si>
    <t>grid=[[0,0,0],[0,1,0],[0,0,0]]</t>
  </si>
  <si>
    <t>Bottom-up DP gives the minimum path.</t>
  </si>
  <si>
    <t>Matrix Chain Multiplication</t>
  </si>
  <si>
    <t>matrix_chain_multiplication.java</t>
  </si>
  <si>
    <t>https://www.geeksforgeeks.org/problems/matrix-chain-multiplication0303/1</t>
  </si>
  <si>
    <t>[[2],[3,4],[6,5,7],[4,1,8,3]]</t>
  </si>
  <si>
    <t>11</t>
  </si>
  <si>
    <t>Try every split point and minimize multiplication cost.</t>
  </si>
  <si>
    <t>Word Break</t>
  </si>
  <si>
    <t>word_break.java</t>
  </si>
  <si>
    <t>https://leetcode.com/problems/word-break/</t>
  </si>
  <si>
    <t>dims=[10,20,30,40,30]</t>
  </si>
  <si>
    <t>26000</t>
  </si>
  <si>
    <t>dp[i] indicates whether prefix i can be segmented.</t>
  </si>
  <si>
    <t>DSA Practice Tracker - Summary</t>
  </si>
  <si>
    <t>Total Problems</t>
  </si>
  <si>
    <t>Solved</t>
  </si>
  <si>
    <t>In Progress</t>
  </si>
  <si>
    <t>Revisit</t>
  </si>
  <si>
    <t>Easy Problems</t>
  </si>
  <si>
    <t>Medium Problems</t>
  </si>
  <si>
    <t>Hard Problems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</si>
</sst>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u/>
      <sz val="10"/>
      <color rgb="FF0563C1"/>
      <name val="Arial"/>
      <charset val="1"/>
    </font>
    <font>
      <b/>
      <sz val="14"/>
      <name val="Arial"/>
      <charset val="1"/>
    </font>
    <font>
      <sz val="11"/>
      <name val="Arial"/>
      <charset val="1"/>
    </font>
    <font>
      <b/>
      <sz val="11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/>
    </xf>
    <xf numFmtId="0" fontId="3" fillId="0" borderId="1" xfId="0" applyFont="1" applyBorder="1"/>
    <xf numFmtId="0" fontId="2" fillId="4" borderId="1" xfId="0" applyFont="1" applyFill="1" applyBorder="1" applyAlignment="1">
      <alignment horizontal="center"/>
    </xf>
    <xf numFmtId="0" fontId="0" fillId="0" borderId="1" xfId="0" applyBorder="1"/>
    <xf numFmtId="0" fontId="2" fillId="5" borderId="1" xfId="0" applyFont="1" applyFill="1" applyBorder="1" applyAlignment="1">
      <alignment horizontal="center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4">
    <dxf>
      <fill>
        <patternFill>
          <bgColor rgb="FFBDD7E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eeksforgeeks.org/graph-and-its-representations/" TargetMode="External"/><Relationship Id="rId21" Type="http://schemas.openxmlformats.org/officeDocument/2006/relationships/hyperlink" Target="https://leetcode.com/problems/two-sum/" TargetMode="External"/><Relationship Id="rId42" Type="http://schemas.openxmlformats.org/officeDocument/2006/relationships/hyperlink" Target="https://leetcode.com/problems/group-anagrams/" TargetMode="External"/><Relationship Id="rId63" Type="http://schemas.openxmlformats.org/officeDocument/2006/relationships/hyperlink" Target="https://leetcode.com/problems/minimum-window-substring/" TargetMode="External"/><Relationship Id="rId84" Type="http://schemas.openxmlformats.org/officeDocument/2006/relationships/hyperlink" Target="https://leetcode.com/problems/valid-parentheses/" TargetMode="External"/><Relationship Id="rId138" Type="http://schemas.openxmlformats.org/officeDocument/2006/relationships/hyperlink" Target="https://leetcode.com/problems/jump-game/" TargetMode="External"/><Relationship Id="rId159" Type="http://schemas.openxmlformats.org/officeDocument/2006/relationships/hyperlink" Target="https://www.geeksforgeeks.org/problems/perfect-sum-problem5633/1" TargetMode="External"/><Relationship Id="rId107" Type="http://schemas.openxmlformats.org/officeDocument/2006/relationships/hyperlink" Target="https://leetcode.com/problems/delete-node-in-a-bst/" TargetMode="External"/><Relationship Id="rId11" Type="http://schemas.openxmlformats.org/officeDocument/2006/relationships/hyperlink" Target="https://www.geeksforgeeks.org/problems/second-smallest3735/1" TargetMode="External"/><Relationship Id="rId32" Type="http://schemas.openxmlformats.org/officeDocument/2006/relationships/hyperlink" Target="https://leetcode.com/problems/string-to-integer-atoi/" TargetMode="External"/><Relationship Id="rId53" Type="http://schemas.openxmlformats.org/officeDocument/2006/relationships/hyperlink" Target="https://leetcode.com/problems/4sum/" TargetMode="External"/><Relationship Id="rId74" Type="http://schemas.openxmlformats.org/officeDocument/2006/relationships/hyperlink" Target="https://leetcode.com/problems/median-of-two-sorted-arrays/" TargetMode="External"/><Relationship Id="rId128" Type="http://schemas.openxmlformats.org/officeDocument/2006/relationships/hyperlink" Target="https://leetcode.com/problems/course-schedule/" TargetMode="External"/><Relationship Id="rId149" Type="http://schemas.openxmlformats.org/officeDocument/2006/relationships/hyperlink" Target="https://leetcode.com/problems/house-robber/" TargetMode="External"/><Relationship Id="rId5" Type="http://schemas.openxmlformats.org/officeDocument/2006/relationships/hyperlink" Target="https://www.geeksforgeeks.org/problems/rotate-array-by-one2614/1" TargetMode="External"/><Relationship Id="rId95" Type="http://schemas.openxmlformats.org/officeDocument/2006/relationships/hyperlink" Target="https://leetcode.com/problems/sudoku-solver/" TargetMode="External"/><Relationship Id="rId160" Type="http://schemas.openxmlformats.org/officeDocument/2006/relationships/hyperlink" Target="https://leetcode.com/problems/longest-common-subsequence/" TargetMode="External"/><Relationship Id="rId22" Type="http://schemas.openxmlformats.org/officeDocument/2006/relationships/hyperlink" Target="https://leetcode.com/problems/3sum/" TargetMode="External"/><Relationship Id="rId43" Type="http://schemas.openxmlformats.org/officeDocument/2006/relationships/hyperlink" Target="https://leetcode.com/problems/subarray-sum-equals-k/" TargetMode="External"/><Relationship Id="rId64" Type="http://schemas.openxmlformats.org/officeDocument/2006/relationships/hyperlink" Target="https://leetcode.com/problems/longest-repeating-character-replacement/" TargetMode="External"/><Relationship Id="rId118" Type="http://schemas.openxmlformats.org/officeDocument/2006/relationships/hyperlink" Target="https://www.geeksforgeeks.org/graph-and-its-representations/" TargetMode="External"/><Relationship Id="rId139" Type="http://schemas.openxmlformats.org/officeDocument/2006/relationships/hyperlink" Target="https://leetcode.com/problems/jump-game-ii/" TargetMode="External"/><Relationship Id="rId85" Type="http://schemas.openxmlformats.org/officeDocument/2006/relationships/hyperlink" Target="https://leetcode.com/problems/min-stack/" TargetMode="External"/><Relationship Id="rId150" Type="http://schemas.openxmlformats.org/officeDocument/2006/relationships/hyperlink" Target="https://leetcode.com/problems/house-robber/" TargetMode="External"/><Relationship Id="rId12" Type="http://schemas.openxmlformats.org/officeDocument/2006/relationships/hyperlink" Target="https://www.geeksforgeeks.org/problems/majority-element-1587115620/1" TargetMode="External"/><Relationship Id="rId33" Type="http://schemas.openxmlformats.org/officeDocument/2006/relationships/hyperlink" Target="https://leetcode.com/problems/isomorphic-strings/" TargetMode="External"/><Relationship Id="rId108" Type="http://schemas.openxmlformats.org/officeDocument/2006/relationships/hyperlink" Target="https://leetcode.com/problems/kth-smallest-element-in-a-bst/" TargetMode="External"/><Relationship Id="rId129" Type="http://schemas.openxmlformats.org/officeDocument/2006/relationships/hyperlink" Target="https://leetcode.com/problems/shortest-path-in-binary-matrix/" TargetMode="External"/><Relationship Id="rId54" Type="http://schemas.openxmlformats.org/officeDocument/2006/relationships/hyperlink" Target="https://leetcode.com/problems/trapping-rain-water/" TargetMode="External"/><Relationship Id="rId70" Type="http://schemas.openxmlformats.org/officeDocument/2006/relationships/hyperlink" Target="https://leetcode.com/problems/find-peak-element/" TargetMode="External"/><Relationship Id="rId75" Type="http://schemas.openxmlformats.org/officeDocument/2006/relationships/hyperlink" Target="https://leetcode.com/problems/reverse-linked-list/" TargetMode="External"/><Relationship Id="rId91" Type="http://schemas.openxmlformats.org/officeDocument/2006/relationships/hyperlink" Target="https://leetcode.com/problems/combination-sum/" TargetMode="External"/><Relationship Id="rId96" Type="http://schemas.openxmlformats.org/officeDocument/2006/relationships/hyperlink" Target="https://leetcode.com/problems/maximum-depth-of-binary-tree/" TargetMode="External"/><Relationship Id="rId140" Type="http://schemas.openxmlformats.org/officeDocument/2006/relationships/hyperlink" Target="https://leetcode.com/problems/gas-station/" TargetMode="External"/><Relationship Id="rId145" Type="http://schemas.openxmlformats.org/officeDocument/2006/relationships/hyperlink" Target="https://leetcode.com/problems/merge-intervals/" TargetMode="External"/><Relationship Id="rId161" Type="http://schemas.openxmlformats.org/officeDocument/2006/relationships/hyperlink" Target="https://www.geeksforgeeks.org/problems/longest-common-substring1452/1" TargetMode="External"/><Relationship Id="rId166" Type="http://schemas.openxmlformats.org/officeDocument/2006/relationships/hyperlink" Target="https://leetcode.com/problems/unique-paths-ii/" TargetMode="External"/><Relationship Id="rId1" Type="http://schemas.openxmlformats.org/officeDocument/2006/relationships/hyperlink" Target="https://www.geeksforgeeks.org/problems/largest-element-in-array4009/1" TargetMode="External"/><Relationship Id="rId6" Type="http://schemas.openxmlformats.org/officeDocument/2006/relationships/hyperlink" Target="https://www.geeksforgeeks.org/problems/rotate-array-by-n-elements/1" TargetMode="External"/><Relationship Id="rId23" Type="http://schemas.openxmlformats.org/officeDocument/2006/relationships/hyperlink" Target="https://leetcode.com/problems/longest-consecutive-sequence/" TargetMode="External"/><Relationship Id="rId28" Type="http://schemas.openxmlformats.org/officeDocument/2006/relationships/hyperlink" Target="https://leetcode.com/problems/rotate-string/" TargetMode="External"/><Relationship Id="rId49" Type="http://schemas.openxmlformats.org/officeDocument/2006/relationships/hyperlink" Target="https://leetcode.com/problems/move-zeroes/" TargetMode="External"/><Relationship Id="rId114" Type="http://schemas.openxmlformats.org/officeDocument/2006/relationships/hyperlink" Target="https://leetcode.com/problems/find-median-from-data-stream/" TargetMode="External"/><Relationship Id="rId119" Type="http://schemas.openxmlformats.org/officeDocument/2006/relationships/hyperlink" Target="https://www.geeksforgeeks.org/problems/bfs-traversal-of-graph/1" TargetMode="External"/><Relationship Id="rId44" Type="http://schemas.openxmlformats.org/officeDocument/2006/relationships/hyperlink" Target="https://leetcode.com/problems/subarray-sum-equals-k/" TargetMode="External"/><Relationship Id="rId60" Type="http://schemas.openxmlformats.org/officeDocument/2006/relationships/hyperlink" Target="https://leetcode.com/problems/maximum-average-subarray-i/" TargetMode="External"/><Relationship Id="rId65" Type="http://schemas.openxmlformats.org/officeDocument/2006/relationships/hyperlink" Target="https://leetcode.com/problems/binary-search/" TargetMode="External"/><Relationship Id="rId81" Type="http://schemas.openxmlformats.org/officeDocument/2006/relationships/hyperlink" Target="https://leetcode.com/problems/palindrome-linked-list/" TargetMode="External"/><Relationship Id="rId86" Type="http://schemas.openxmlformats.org/officeDocument/2006/relationships/hyperlink" Target="https://leetcode.com/problems/next-greater-element-i/" TargetMode="External"/><Relationship Id="rId130" Type="http://schemas.openxmlformats.org/officeDocument/2006/relationships/hyperlink" Target="https://leetcode.com/problems/network-delay-time/" TargetMode="External"/><Relationship Id="rId135" Type="http://schemas.openxmlformats.org/officeDocument/2006/relationships/hyperlink" Target="https://leetcode.com/problems/word-ladder/" TargetMode="External"/><Relationship Id="rId151" Type="http://schemas.openxmlformats.org/officeDocument/2006/relationships/hyperlink" Target="https://leetcode.com/problems/house-robber-ii/" TargetMode="External"/><Relationship Id="rId156" Type="http://schemas.openxmlformats.org/officeDocument/2006/relationships/hyperlink" Target="https://www.geeksforgeeks.org/problems/knapsack-with-duplicate-items4201/1" TargetMode="External"/><Relationship Id="rId13" Type="http://schemas.openxmlformats.org/officeDocument/2006/relationships/hyperlink" Target="https://www.geeksforgeeks.org/problems/kadanes-algorithm-1587115620/1" TargetMode="External"/><Relationship Id="rId18" Type="http://schemas.openxmlformats.org/officeDocument/2006/relationships/hyperlink" Target="https://www.geeksforgeeks.org/problems/array-of-alternate-ve-and-ve-nos1401/1" TargetMode="External"/><Relationship Id="rId39" Type="http://schemas.openxmlformats.org/officeDocument/2006/relationships/hyperlink" Target="https://leetcode.com/problems/first-unique-character-in-a-string/" TargetMode="External"/><Relationship Id="rId109" Type="http://schemas.openxmlformats.org/officeDocument/2006/relationships/hyperlink" Target="https://www.geeksforgeeks.org/problems/implementation-of-priority-queue-using-binary-heap/1" TargetMode="External"/><Relationship Id="rId34" Type="http://schemas.openxmlformats.org/officeDocument/2006/relationships/hyperlink" Target="https://www.geeksforgeeks.org/problems/permutations-of-a-given-string2041/1" TargetMode="External"/><Relationship Id="rId50" Type="http://schemas.openxmlformats.org/officeDocument/2006/relationships/hyperlink" Target="https://leetcode.com/problems/reverse-vowels-of-a-string/" TargetMode="External"/><Relationship Id="rId55" Type="http://schemas.openxmlformats.org/officeDocument/2006/relationships/hyperlink" Target="https://leetcode.com/problems/maximum-average-subarray-i/" TargetMode="External"/><Relationship Id="rId76" Type="http://schemas.openxmlformats.org/officeDocument/2006/relationships/hyperlink" Target="https://leetcode.com/problems/middle-of-the-linked-list/" TargetMode="External"/><Relationship Id="rId97" Type="http://schemas.openxmlformats.org/officeDocument/2006/relationships/hyperlink" Target="https://leetcode.com/problems/invert-binary-tree/" TargetMode="External"/><Relationship Id="rId104" Type="http://schemas.openxmlformats.org/officeDocument/2006/relationships/hyperlink" Target="https://leetcode.com/problems/validate-binary-search-tree/" TargetMode="External"/><Relationship Id="rId120" Type="http://schemas.openxmlformats.org/officeDocument/2006/relationships/hyperlink" Target="https://www.geeksforgeeks.org/problems/depth-first-traversal-for-a-graph/1" TargetMode="External"/><Relationship Id="rId125" Type="http://schemas.openxmlformats.org/officeDocument/2006/relationships/hyperlink" Target="https://www.geeksforgeeks.org/problems/detect-cycle-in-a-directed-graph/1" TargetMode="External"/><Relationship Id="rId141" Type="http://schemas.openxmlformats.org/officeDocument/2006/relationships/hyperlink" Target="https://www.geeksforgeeks.org/problems/activity-selection-1587115620/1" TargetMode="External"/><Relationship Id="rId146" Type="http://schemas.openxmlformats.org/officeDocument/2006/relationships/hyperlink" Target="https://www.geeksforgeeks.org/problems/fibonacci-number-1587115620/1" TargetMode="External"/><Relationship Id="rId167" Type="http://schemas.openxmlformats.org/officeDocument/2006/relationships/hyperlink" Target="https://www.geeksforgeeks.org/problems/triangle-path-sum/1" TargetMode="External"/><Relationship Id="rId7" Type="http://schemas.openxmlformats.org/officeDocument/2006/relationships/hyperlink" Target="https://www.geeksforgeeks.org/problems/rotate-array-by-n-elements/1" TargetMode="External"/><Relationship Id="rId71" Type="http://schemas.openxmlformats.org/officeDocument/2006/relationships/hyperlink" Target="https://leetcode.com/problems/sqrtx/" TargetMode="External"/><Relationship Id="rId92" Type="http://schemas.openxmlformats.org/officeDocument/2006/relationships/hyperlink" Target="https://leetcode.com/problems/letter-combinations-of-a-phone-number/" TargetMode="External"/><Relationship Id="rId162" Type="http://schemas.openxmlformats.org/officeDocument/2006/relationships/hyperlink" Target="https://leetcode.com/problems/longest-increasing-subsequence/" TargetMode="External"/><Relationship Id="rId2" Type="http://schemas.openxmlformats.org/officeDocument/2006/relationships/hyperlink" Target="https://www.geeksforgeeks.org/problems/second-largest3735/1" TargetMode="External"/><Relationship Id="rId29" Type="http://schemas.openxmlformats.org/officeDocument/2006/relationships/hyperlink" Target="https://leetcode.com/problems/palindromic-substrings/" TargetMode="External"/><Relationship Id="rId24" Type="http://schemas.openxmlformats.org/officeDocument/2006/relationships/hyperlink" Target="https://leetcode.com/problems/product-of-array-except-self/" TargetMode="External"/><Relationship Id="rId40" Type="http://schemas.openxmlformats.org/officeDocument/2006/relationships/hyperlink" Target="https://leetcode.com/problems/intersection-of-two-arrays/" TargetMode="External"/><Relationship Id="rId45" Type="http://schemas.openxmlformats.org/officeDocument/2006/relationships/hyperlink" Target="https://leetcode.com/problems/top-k-frequent-elements/" TargetMode="External"/><Relationship Id="rId66" Type="http://schemas.openxmlformats.org/officeDocument/2006/relationships/hyperlink" Target="https://leetcode.com/problems/search-insert-position/" TargetMode="External"/><Relationship Id="rId87" Type="http://schemas.openxmlformats.org/officeDocument/2006/relationships/hyperlink" Target="https://leetcode.com/problems/daily-temperatures/" TargetMode="External"/><Relationship Id="rId110" Type="http://schemas.openxmlformats.org/officeDocument/2006/relationships/hyperlink" Target="https://www.geeksforgeeks.org/problems/implementation-of-priority-queue-using-binary-heap/1" TargetMode="External"/><Relationship Id="rId115" Type="http://schemas.openxmlformats.org/officeDocument/2006/relationships/hyperlink" Target="https://leetcode.com/problems/k-closest-points-to-origin/" TargetMode="External"/><Relationship Id="rId131" Type="http://schemas.openxmlformats.org/officeDocument/2006/relationships/hyperlink" Target="https://www.geeksforgeeks.org/problems/negative-weight-cycle3504/1" TargetMode="External"/><Relationship Id="rId136" Type="http://schemas.openxmlformats.org/officeDocument/2006/relationships/hyperlink" Target="https://leetcode.com/problems/rotting-oranges/" TargetMode="External"/><Relationship Id="rId157" Type="http://schemas.openxmlformats.org/officeDocument/2006/relationships/hyperlink" Target="https://www.geeksforgeeks.org/problems/subset-sum-problem-1611555638/1" TargetMode="External"/><Relationship Id="rId61" Type="http://schemas.openxmlformats.org/officeDocument/2006/relationships/hyperlink" Target="https://leetcode.com/problems/permutation-in-string/" TargetMode="External"/><Relationship Id="rId82" Type="http://schemas.openxmlformats.org/officeDocument/2006/relationships/hyperlink" Target="https://leetcode.com/problems/add-two-numbers/" TargetMode="External"/><Relationship Id="rId152" Type="http://schemas.openxmlformats.org/officeDocument/2006/relationships/hyperlink" Target="https://leetcode.com/problems/best-time-to-buy-and-sell-stock/" TargetMode="External"/><Relationship Id="rId19" Type="http://schemas.openxmlformats.org/officeDocument/2006/relationships/hyperlink" Target="https://www.geeksforgeeks.org/problems/max-1s-1/1" TargetMode="External"/><Relationship Id="rId14" Type="http://schemas.openxmlformats.org/officeDocument/2006/relationships/hyperlink" Target="https://www.geeksforgeeks.org/problems/stock-buy-and-sell-1587115621/1" TargetMode="External"/><Relationship Id="rId30" Type="http://schemas.openxmlformats.org/officeDocument/2006/relationships/hyperlink" Target="https://leetcode.com/problems/roman-to-integer/" TargetMode="External"/><Relationship Id="rId35" Type="http://schemas.openxmlformats.org/officeDocument/2006/relationships/hyperlink" Target="https://leetcode.com/problems/find-the-index-of-the-first-occurrence-in-a-string/" TargetMode="External"/><Relationship Id="rId56" Type="http://schemas.openxmlformats.org/officeDocument/2006/relationships/hyperlink" Target="https://leetcode.com/problems/max-consecutive-ones/" TargetMode="External"/><Relationship Id="rId77" Type="http://schemas.openxmlformats.org/officeDocument/2006/relationships/hyperlink" Target="https://leetcode.com/problems/linked-list-cycle/" TargetMode="External"/><Relationship Id="rId100" Type="http://schemas.openxmlformats.org/officeDocument/2006/relationships/hyperlink" Target="https://leetcode.com/problems/binary-tree-maximum-path-sum/" TargetMode="External"/><Relationship Id="rId105" Type="http://schemas.openxmlformats.org/officeDocument/2006/relationships/hyperlink" Target="https://leetcode.com/problems/search-in-a-binary-search-tree/" TargetMode="External"/><Relationship Id="rId126" Type="http://schemas.openxmlformats.org/officeDocument/2006/relationships/hyperlink" Target="https://www.geeksforgeeks.org/problems/topological-sort/1" TargetMode="External"/><Relationship Id="rId147" Type="http://schemas.openxmlformats.org/officeDocument/2006/relationships/hyperlink" Target="https://leetcode.com/problems/climbing-stairs/" TargetMode="External"/><Relationship Id="rId168" Type="http://schemas.openxmlformats.org/officeDocument/2006/relationships/hyperlink" Target="https://www.geeksforgeeks.org/problems/matrix-chain-multiplication0303/1" TargetMode="External"/><Relationship Id="rId8" Type="http://schemas.openxmlformats.org/officeDocument/2006/relationships/hyperlink" Target="https://www.geeksforgeeks.org/problems/missing-number-in-array1416/1" TargetMode="External"/><Relationship Id="rId51" Type="http://schemas.openxmlformats.org/officeDocument/2006/relationships/hyperlink" Target="https://leetcode.com/problems/container-with-most-water/" TargetMode="External"/><Relationship Id="rId72" Type="http://schemas.openxmlformats.org/officeDocument/2006/relationships/hyperlink" Target="https://leetcode.com/problems/koko-eating-bananas/" TargetMode="External"/><Relationship Id="rId93" Type="http://schemas.openxmlformats.org/officeDocument/2006/relationships/hyperlink" Target="https://leetcode.com/problems/generate-parentheses/" TargetMode="External"/><Relationship Id="rId98" Type="http://schemas.openxmlformats.org/officeDocument/2006/relationships/hyperlink" Target="https://leetcode.com/problems/balanced-binary-tree/" TargetMode="External"/><Relationship Id="rId121" Type="http://schemas.openxmlformats.org/officeDocument/2006/relationships/hyperlink" Target="https://www.geeksforgeeks.org/problems/number-of-provinces/1" TargetMode="External"/><Relationship Id="rId142" Type="http://schemas.openxmlformats.org/officeDocument/2006/relationships/hyperlink" Target="https://www.geeksforgeeks.org/problems/fractional-knapsack-1587115620/1" TargetMode="External"/><Relationship Id="rId163" Type="http://schemas.openxmlformats.org/officeDocument/2006/relationships/hyperlink" Target="https://leetcode.com/problems/edit-distance/" TargetMode="External"/><Relationship Id="rId3" Type="http://schemas.openxmlformats.org/officeDocument/2006/relationships/hyperlink" Target="https://www.geeksforgeeks.org/problems/check-if-an-array-is-sorted0701/1" TargetMode="External"/><Relationship Id="rId25" Type="http://schemas.openxmlformats.org/officeDocument/2006/relationships/hyperlink" Target="https://leetcode.com/problems/valid-anagram/" TargetMode="External"/><Relationship Id="rId46" Type="http://schemas.openxmlformats.org/officeDocument/2006/relationships/hyperlink" Target="https://leetcode.com/problems/isomorphic-strings/" TargetMode="External"/><Relationship Id="rId67" Type="http://schemas.openxmlformats.org/officeDocument/2006/relationships/hyperlink" Target="https://leetcode.com/problems/find-first-and-last-position-of-element-in-sorted-array/" TargetMode="External"/><Relationship Id="rId116" Type="http://schemas.openxmlformats.org/officeDocument/2006/relationships/hyperlink" Target="https://leetcode.com/problems/task-scheduler/" TargetMode="External"/><Relationship Id="rId137" Type="http://schemas.openxmlformats.org/officeDocument/2006/relationships/hyperlink" Target="https://leetcode.com/problems/assign-cookies/" TargetMode="External"/><Relationship Id="rId158" Type="http://schemas.openxmlformats.org/officeDocument/2006/relationships/hyperlink" Target="https://leetcode.com/problems/partition-equal-subset-sum/" TargetMode="External"/><Relationship Id="rId20" Type="http://schemas.openxmlformats.org/officeDocument/2006/relationships/hyperlink" Target="https://leetcode.com/problems/find-the-duplicate-number/" TargetMode="External"/><Relationship Id="rId41" Type="http://schemas.openxmlformats.org/officeDocument/2006/relationships/hyperlink" Target="https://leetcode.com/problems/longest-consecutive-sequence/" TargetMode="External"/><Relationship Id="rId62" Type="http://schemas.openxmlformats.org/officeDocument/2006/relationships/hyperlink" Target="https://leetcode.com/problems/find-all-anagrams-in-a-string/" TargetMode="External"/><Relationship Id="rId83" Type="http://schemas.openxmlformats.org/officeDocument/2006/relationships/hyperlink" Target="https://leetcode.com/problems/intersection-of-two-linked-lists/" TargetMode="External"/><Relationship Id="rId88" Type="http://schemas.openxmlformats.org/officeDocument/2006/relationships/hyperlink" Target="https://leetcode.com/problems/largest-rectangle-in-histogram/" TargetMode="External"/><Relationship Id="rId111" Type="http://schemas.openxmlformats.org/officeDocument/2006/relationships/hyperlink" Target="https://leetcode.com/problems/kth-largest-element-in-an-array/" TargetMode="External"/><Relationship Id="rId132" Type="http://schemas.openxmlformats.org/officeDocument/2006/relationships/hyperlink" Target="https://www.geeksforgeeks.org/problems/implementing-floyd-warshall2042/1" TargetMode="External"/><Relationship Id="rId153" Type="http://schemas.openxmlformats.org/officeDocument/2006/relationships/hyperlink" Target="https://leetcode.com/problems/coin-change/" TargetMode="External"/><Relationship Id="rId15" Type="http://schemas.openxmlformats.org/officeDocument/2006/relationships/hyperlink" Target="https://www.geeksforgeeks.org/problems/union-of-two-sorted-arrays-1587115621/1" TargetMode="External"/><Relationship Id="rId36" Type="http://schemas.openxmlformats.org/officeDocument/2006/relationships/hyperlink" Target="https://leetcode.com/problems/two-sum/" TargetMode="External"/><Relationship Id="rId57" Type="http://schemas.openxmlformats.org/officeDocument/2006/relationships/hyperlink" Target="https://leetcode.com/problems/longest-substring-without-repeating-characters/" TargetMode="External"/><Relationship Id="rId106" Type="http://schemas.openxmlformats.org/officeDocument/2006/relationships/hyperlink" Target="https://leetcode.com/problems/insert-into-a-binary-search-tree/" TargetMode="External"/><Relationship Id="rId127" Type="http://schemas.openxmlformats.org/officeDocument/2006/relationships/hyperlink" Target="https://www.geeksforgeeks.org/problems/topological-sort/1" TargetMode="External"/><Relationship Id="rId10" Type="http://schemas.openxmlformats.org/officeDocument/2006/relationships/hyperlink" Target="https://www.geeksforgeeks.org/problems/find-minimum-and-maximum-element-in-an-array4428/1" TargetMode="External"/><Relationship Id="rId31" Type="http://schemas.openxmlformats.org/officeDocument/2006/relationships/hyperlink" Target="https://leetcode.com/problems/integer-to-roman/" TargetMode="External"/><Relationship Id="rId52" Type="http://schemas.openxmlformats.org/officeDocument/2006/relationships/hyperlink" Target="https://leetcode.com/problems/3sum/" TargetMode="External"/><Relationship Id="rId73" Type="http://schemas.openxmlformats.org/officeDocument/2006/relationships/hyperlink" Target="https://leetcode.com/problems/capacity-to-ship-packages-within-d-days/" TargetMode="External"/><Relationship Id="rId78" Type="http://schemas.openxmlformats.org/officeDocument/2006/relationships/hyperlink" Target="https://leetcode.com/problems/linked-list-cycle-ii/" TargetMode="External"/><Relationship Id="rId94" Type="http://schemas.openxmlformats.org/officeDocument/2006/relationships/hyperlink" Target="https://leetcode.com/problems/n-queens/" TargetMode="External"/><Relationship Id="rId99" Type="http://schemas.openxmlformats.org/officeDocument/2006/relationships/hyperlink" Target="https://leetcode.com/problems/diameter-of-binary-tree/" TargetMode="External"/><Relationship Id="rId101" Type="http://schemas.openxmlformats.org/officeDocument/2006/relationships/hyperlink" Target="https://leetcode.com/problems/binary-tree-zigzag-level-order-traversal/" TargetMode="External"/><Relationship Id="rId122" Type="http://schemas.openxmlformats.org/officeDocument/2006/relationships/hyperlink" Target="https://leetcode.com/problems/number-of-islands/" TargetMode="External"/><Relationship Id="rId143" Type="http://schemas.openxmlformats.org/officeDocument/2006/relationships/hyperlink" Target="https://www.geeksforgeeks.org/problems/job-sequencing-problem-1587115620/1" TargetMode="External"/><Relationship Id="rId148" Type="http://schemas.openxmlformats.org/officeDocument/2006/relationships/hyperlink" Target="https://leetcode.com/problems/frog-jump/" TargetMode="External"/><Relationship Id="rId164" Type="http://schemas.openxmlformats.org/officeDocument/2006/relationships/hyperlink" Target="https://leetcode.com/problems/minimum-path-sum/" TargetMode="External"/><Relationship Id="rId169" Type="http://schemas.openxmlformats.org/officeDocument/2006/relationships/hyperlink" Target="https://leetcode.com/problems/word-break/" TargetMode="External"/><Relationship Id="rId4" Type="http://schemas.openxmlformats.org/officeDocument/2006/relationships/hyperlink" Target="https://leetcode.com/problems/move-zeroes/" TargetMode="External"/><Relationship Id="rId9" Type="http://schemas.openxmlformats.org/officeDocument/2006/relationships/hyperlink" Target="https://www.geeksforgeeks.org/problems/single-number1014/1" TargetMode="External"/><Relationship Id="rId26" Type="http://schemas.openxmlformats.org/officeDocument/2006/relationships/hyperlink" Target="https://leetcode.com/problems/longest-common-prefix/" TargetMode="External"/><Relationship Id="rId47" Type="http://schemas.openxmlformats.org/officeDocument/2006/relationships/hyperlink" Target="https://leetcode.com/problems/longest-substring-with-at-most-k-distinct-characters/" TargetMode="External"/><Relationship Id="rId68" Type="http://schemas.openxmlformats.org/officeDocument/2006/relationships/hyperlink" Target="https://leetcode.com/problems/search-in-rotated-sorted-array/" TargetMode="External"/><Relationship Id="rId89" Type="http://schemas.openxmlformats.org/officeDocument/2006/relationships/hyperlink" Target="https://leetcode.com/problems/evaluate-reverse-polish-notation/" TargetMode="External"/><Relationship Id="rId112" Type="http://schemas.openxmlformats.org/officeDocument/2006/relationships/hyperlink" Target="https://leetcode.com/problems/top-k-frequent-elements/" TargetMode="External"/><Relationship Id="rId133" Type="http://schemas.openxmlformats.org/officeDocument/2006/relationships/hyperlink" Target="https://www.geeksforgeeks.org/problems/minimum-spanning-tree/1" TargetMode="External"/><Relationship Id="rId154" Type="http://schemas.openxmlformats.org/officeDocument/2006/relationships/hyperlink" Target="https://leetcode.com/problems/coin-change-ii/" TargetMode="External"/><Relationship Id="rId16" Type="http://schemas.openxmlformats.org/officeDocument/2006/relationships/hyperlink" Target="https://www.geeksforgeeks.org/problems/intersection-of-two-sorted-array-1587115620/1" TargetMode="External"/><Relationship Id="rId37" Type="http://schemas.openxmlformats.org/officeDocument/2006/relationships/hyperlink" Target="https://leetcode.com/problems/contains-duplicate/" TargetMode="External"/><Relationship Id="rId58" Type="http://schemas.openxmlformats.org/officeDocument/2006/relationships/hyperlink" Target="https://leetcode.com/problems/longest-substring-with-at-most-k-distinct-characters/" TargetMode="External"/><Relationship Id="rId79" Type="http://schemas.openxmlformats.org/officeDocument/2006/relationships/hyperlink" Target="https://leetcode.com/problems/merge-two-sorted-lists/" TargetMode="External"/><Relationship Id="rId102" Type="http://schemas.openxmlformats.org/officeDocument/2006/relationships/hyperlink" Target="https://leetcode.com/problems/binary-tree-right-side-view/" TargetMode="External"/><Relationship Id="rId123" Type="http://schemas.openxmlformats.org/officeDocument/2006/relationships/hyperlink" Target="https://leetcode.com/problems/flood-fill/" TargetMode="External"/><Relationship Id="rId144" Type="http://schemas.openxmlformats.org/officeDocument/2006/relationships/hyperlink" Target="https://www.geeksforgeeks.org/problems/number-of-coins1824/1" TargetMode="External"/><Relationship Id="rId90" Type="http://schemas.openxmlformats.org/officeDocument/2006/relationships/hyperlink" Target="https://leetcode.com/problems/sliding-window-maximum/" TargetMode="External"/><Relationship Id="rId165" Type="http://schemas.openxmlformats.org/officeDocument/2006/relationships/hyperlink" Target="https://leetcode.com/problems/unique-paths/" TargetMode="External"/><Relationship Id="rId27" Type="http://schemas.openxmlformats.org/officeDocument/2006/relationships/hyperlink" Target="https://leetcode.com/problems/reverse-words-in-a-string/" TargetMode="External"/><Relationship Id="rId48" Type="http://schemas.openxmlformats.org/officeDocument/2006/relationships/hyperlink" Target="https://leetcode.com/problems/remove-duplicates-from-sorted-array/" TargetMode="External"/><Relationship Id="rId69" Type="http://schemas.openxmlformats.org/officeDocument/2006/relationships/hyperlink" Target="https://leetcode.com/problems/find-minimum-in-rotated-sorted-array/" TargetMode="External"/><Relationship Id="rId113" Type="http://schemas.openxmlformats.org/officeDocument/2006/relationships/hyperlink" Target="https://leetcode.com/problems/merge-k-sorted-lists/" TargetMode="External"/><Relationship Id="rId134" Type="http://schemas.openxmlformats.org/officeDocument/2006/relationships/hyperlink" Target="https://www.geeksforgeeks.org/problems/minimum-spanning-tree/1" TargetMode="External"/><Relationship Id="rId80" Type="http://schemas.openxmlformats.org/officeDocument/2006/relationships/hyperlink" Target="https://leetcode.com/problems/remove-nth-node-from-end-of-list/" TargetMode="External"/><Relationship Id="rId155" Type="http://schemas.openxmlformats.org/officeDocument/2006/relationships/hyperlink" Target="https://www.geeksforgeeks.org/problems/0-1-knapsack-problem0945/1" TargetMode="External"/><Relationship Id="rId17" Type="http://schemas.openxmlformats.org/officeDocument/2006/relationships/hyperlink" Target="https://www.geeksforgeeks.org/problems/leaders-in-an-array-1587115620/1" TargetMode="External"/><Relationship Id="rId38" Type="http://schemas.openxmlformats.org/officeDocument/2006/relationships/hyperlink" Target="https://leetcode.com/problems/valid-anagram/" TargetMode="External"/><Relationship Id="rId59" Type="http://schemas.openxmlformats.org/officeDocument/2006/relationships/hyperlink" Target="https://leetcode.com/problems/minimum-size-subarray-sum/" TargetMode="External"/><Relationship Id="rId103" Type="http://schemas.openxmlformats.org/officeDocument/2006/relationships/hyperlink" Target="https://leetcode.com/problems/lowest-common-ancestor-of-a-binary-tree/" TargetMode="External"/><Relationship Id="rId124" Type="http://schemas.openxmlformats.org/officeDocument/2006/relationships/hyperlink" Target="https://leetcode.com/problems/graph-valid-tre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1"/>
  <sheetViews>
    <sheetView tabSelected="1" zoomScale="210" zoomScaleNormal="100" workbookViewId="0">
      <pane ySplit="1" topLeftCell="A70" activePane="bottomLeft" state="frozen"/>
      <selection pane="bottomLeft" activeCell="O2" sqref="O2"/>
    </sheetView>
  </sheetViews>
  <sheetFormatPr defaultColWidth="8.6328125" defaultRowHeight="14.5" x14ac:dyDescent="0.35"/>
  <cols>
    <col min="1" max="1" width="6" customWidth="1"/>
    <col min="2" max="2" width="20" customWidth="1"/>
    <col min="3" max="3" width="42" customWidth="1"/>
    <col min="4" max="4" width="12" customWidth="1"/>
    <col min="5" max="5" width="40" customWidth="1"/>
    <col min="6" max="6" width="14" customWidth="1"/>
    <col min="7" max="7" width="45" customWidth="1"/>
    <col min="8" max="8" width="30" customWidth="1"/>
    <col min="9" max="9" width="25" customWidth="1"/>
    <col min="10" max="10" width="40" customWidth="1"/>
    <col min="11" max="12" width="14" customWidth="1"/>
    <col min="13" max="13" width="12" customWidth="1"/>
    <col min="14" max="14" width="14" customWidth="1"/>
    <col min="15" max="15" width="12" customWidth="1"/>
    <col min="16" max="16" width="30" customWidth="1"/>
  </cols>
  <sheetData>
    <row r="1" spans="1:16" ht="30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5">
      <c r="A2" s="3">
        <v>1</v>
      </c>
      <c r="B2" s="4" t="s">
        <v>16</v>
      </c>
      <c r="C2" s="4" t="s">
        <v>17</v>
      </c>
      <c r="D2" s="5" t="s">
        <v>18</v>
      </c>
      <c r="E2" s="4" t="s">
        <v>19</v>
      </c>
      <c r="F2" s="4" t="s">
        <v>20</v>
      </c>
      <c r="G2" s="6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25</v>
      </c>
      <c r="M2" s="3" t="s">
        <v>26</v>
      </c>
      <c r="N2" s="4"/>
      <c r="O2" s="4"/>
      <c r="P2" s="4"/>
    </row>
    <row r="3" spans="1:16" x14ac:dyDescent="0.35">
      <c r="A3" s="3">
        <v>2</v>
      </c>
      <c r="B3" s="4" t="s">
        <v>16</v>
      </c>
      <c r="C3" s="4" t="s">
        <v>27</v>
      </c>
      <c r="D3" s="7" t="s">
        <v>28</v>
      </c>
      <c r="E3" s="4" t="s">
        <v>29</v>
      </c>
      <c r="F3" s="4" t="s">
        <v>20</v>
      </c>
      <c r="G3" s="6" t="s">
        <v>30</v>
      </c>
      <c r="H3" s="4" t="s">
        <v>22</v>
      </c>
      <c r="I3" s="4" t="s">
        <v>31</v>
      </c>
      <c r="J3" s="4" t="s">
        <v>32</v>
      </c>
      <c r="K3" s="4" t="s">
        <v>25</v>
      </c>
      <c r="L3" s="4" t="s">
        <v>25</v>
      </c>
      <c r="M3" s="3" t="s">
        <v>26</v>
      </c>
      <c r="N3" s="4"/>
      <c r="O3" s="4"/>
      <c r="P3" s="4"/>
    </row>
    <row r="4" spans="1:16" x14ac:dyDescent="0.35">
      <c r="A4" s="3">
        <v>3</v>
      </c>
      <c r="B4" s="4" t="s">
        <v>16</v>
      </c>
      <c r="C4" s="4" t="s">
        <v>33</v>
      </c>
      <c r="D4" s="5" t="s">
        <v>18</v>
      </c>
      <c r="E4" s="4" t="s">
        <v>34</v>
      </c>
      <c r="F4" s="4" t="s">
        <v>20</v>
      </c>
      <c r="G4" s="6" t="s">
        <v>35</v>
      </c>
      <c r="H4" s="4" t="s">
        <v>36</v>
      </c>
      <c r="I4" s="4" t="s">
        <v>37</v>
      </c>
      <c r="J4" s="4" t="s">
        <v>38</v>
      </c>
      <c r="K4" s="4" t="s">
        <v>25</v>
      </c>
      <c r="L4" s="4" t="s">
        <v>25</v>
      </c>
      <c r="M4" s="3" t="s">
        <v>26</v>
      </c>
      <c r="N4" s="4"/>
      <c r="O4" s="4"/>
      <c r="P4" s="4"/>
    </row>
    <row r="5" spans="1:16" x14ac:dyDescent="0.35">
      <c r="A5" s="3">
        <v>4</v>
      </c>
      <c r="B5" s="4" t="s">
        <v>16</v>
      </c>
      <c r="C5" s="4" t="s">
        <v>39</v>
      </c>
      <c r="D5" s="7" t="s">
        <v>28</v>
      </c>
      <c r="E5" s="4" t="s">
        <v>40</v>
      </c>
      <c r="F5" s="4"/>
      <c r="G5" s="8"/>
      <c r="H5" s="4" t="s">
        <v>41</v>
      </c>
      <c r="I5" s="4" t="s">
        <v>42</v>
      </c>
      <c r="J5" s="4" t="s">
        <v>43</v>
      </c>
      <c r="K5" s="4" t="s">
        <v>25</v>
      </c>
      <c r="L5" s="4" t="s">
        <v>25</v>
      </c>
      <c r="M5" s="3" t="s">
        <v>26</v>
      </c>
      <c r="N5" s="4"/>
      <c r="O5" s="4"/>
      <c r="P5" s="4"/>
    </row>
    <row r="6" spans="1:16" x14ac:dyDescent="0.35">
      <c r="A6" s="3">
        <v>5</v>
      </c>
      <c r="B6" s="4" t="s">
        <v>16</v>
      </c>
      <c r="C6" s="4" t="s">
        <v>44</v>
      </c>
      <c r="D6" s="5" t="s">
        <v>18</v>
      </c>
      <c r="E6" s="4" t="s">
        <v>45</v>
      </c>
      <c r="F6" s="4" t="s">
        <v>46</v>
      </c>
      <c r="G6" s="6" t="s">
        <v>47</v>
      </c>
      <c r="H6" s="4" t="s">
        <v>48</v>
      </c>
      <c r="I6" s="4" t="s">
        <v>49</v>
      </c>
      <c r="J6" s="4" t="s">
        <v>50</v>
      </c>
      <c r="K6" s="4" t="s">
        <v>25</v>
      </c>
      <c r="L6" s="4" t="s">
        <v>25</v>
      </c>
      <c r="M6" s="3" t="s">
        <v>26</v>
      </c>
      <c r="N6" s="4"/>
      <c r="O6" s="4"/>
      <c r="P6" s="4"/>
    </row>
    <row r="7" spans="1:16" x14ac:dyDescent="0.35">
      <c r="A7" s="3">
        <v>6</v>
      </c>
      <c r="B7" s="4" t="s">
        <v>16</v>
      </c>
      <c r="C7" s="4" t="s">
        <v>51</v>
      </c>
      <c r="D7" s="7" t="s">
        <v>28</v>
      </c>
      <c r="E7" s="4" t="s">
        <v>52</v>
      </c>
      <c r="F7" s="4" t="s">
        <v>20</v>
      </c>
      <c r="G7" s="6" t="s">
        <v>53</v>
      </c>
      <c r="H7" s="4" t="s">
        <v>36</v>
      </c>
      <c r="I7" s="4" t="s">
        <v>54</v>
      </c>
      <c r="J7" s="4" t="s">
        <v>55</v>
      </c>
      <c r="K7" s="4" t="s">
        <v>25</v>
      </c>
      <c r="L7" s="4" t="s">
        <v>25</v>
      </c>
      <c r="M7" s="3" t="s">
        <v>26</v>
      </c>
      <c r="N7" s="4"/>
      <c r="O7" s="4"/>
      <c r="P7" s="4"/>
    </row>
    <row r="8" spans="1:16" x14ac:dyDescent="0.35">
      <c r="A8" s="3">
        <v>7</v>
      </c>
      <c r="B8" s="4" t="s">
        <v>16</v>
      </c>
      <c r="C8" s="4" t="s">
        <v>56</v>
      </c>
      <c r="D8" s="7" t="s">
        <v>28</v>
      </c>
      <c r="E8" s="4" t="s">
        <v>57</v>
      </c>
      <c r="F8" s="4" t="s">
        <v>20</v>
      </c>
      <c r="G8" s="6" t="s">
        <v>58</v>
      </c>
      <c r="H8" s="4" t="s">
        <v>59</v>
      </c>
      <c r="I8" s="4" t="s">
        <v>60</v>
      </c>
      <c r="J8" s="4" t="s">
        <v>61</v>
      </c>
      <c r="K8" s="4" t="s">
        <v>25</v>
      </c>
      <c r="L8" s="4" t="s">
        <v>25</v>
      </c>
      <c r="M8" s="3" t="s">
        <v>26</v>
      </c>
      <c r="N8" s="4"/>
      <c r="O8" s="4"/>
      <c r="P8" s="4"/>
    </row>
    <row r="9" spans="1:16" x14ac:dyDescent="0.35">
      <c r="A9" s="3">
        <v>8</v>
      </c>
      <c r="B9" s="4" t="s">
        <v>16</v>
      </c>
      <c r="C9" s="4" t="s">
        <v>62</v>
      </c>
      <c r="D9" s="7" t="s">
        <v>28</v>
      </c>
      <c r="E9" s="4" t="s">
        <v>63</v>
      </c>
      <c r="F9" s="4" t="s">
        <v>20</v>
      </c>
      <c r="G9" s="6" t="s">
        <v>58</v>
      </c>
      <c r="H9" s="4" t="s">
        <v>59</v>
      </c>
      <c r="I9" s="4" t="s">
        <v>64</v>
      </c>
      <c r="J9" s="4" t="s">
        <v>61</v>
      </c>
      <c r="K9" s="4" t="s">
        <v>25</v>
      </c>
      <c r="L9" s="4" t="s">
        <v>25</v>
      </c>
      <c r="M9" s="3" t="s">
        <v>26</v>
      </c>
      <c r="N9" s="4"/>
      <c r="O9" s="4"/>
      <c r="P9" s="4"/>
    </row>
    <row r="10" spans="1:16" x14ac:dyDescent="0.35">
      <c r="A10" s="3">
        <v>9</v>
      </c>
      <c r="B10" s="4" t="s">
        <v>16</v>
      </c>
      <c r="C10" s="4" t="s">
        <v>65</v>
      </c>
      <c r="D10" s="7" t="s">
        <v>28</v>
      </c>
      <c r="E10" s="4" t="s">
        <v>66</v>
      </c>
      <c r="F10" s="4" t="s">
        <v>20</v>
      </c>
      <c r="G10" s="6" t="s">
        <v>67</v>
      </c>
      <c r="H10" s="4" t="s">
        <v>68</v>
      </c>
      <c r="I10" s="4" t="s">
        <v>69</v>
      </c>
      <c r="J10" s="4" t="s">
        <v>70</v>
      </c>
      <c r="K10" s="4" t="s">
        <v>25</v>
      </c>
      <c r="L10" s="4" t="s">
        <v>25</v>
      </c>
      <c r="M10" s="3" t="s">
        <v>26</v>
      </c>
      <c r="N10" s="4"/>
      <c r="O10" s="4"/>
      <c r="P10" s="4"/>
    </row>
    <row r="11" spans="1:16" x14ac:dyDescent="0.35">
      <c r="A11" s="3">
        <v>10</v>
      </c>
      <c r="B11" s="4" t="s">
        <v>16</v>
      </c>
      <c r="C11" s="4" t="s">
        <v>71</v>
      </c>
      <c r="D11" s="7" t="s">
        <v>28</v>
      </c>
      <c r="E11" s="4" t="s">
        <v>72</v>
      </c>
      <c r="F11" s="4" t="s">
        <v>20</v>
      </c>
      <c r="G11" s="6" t="s">
        <v>73</v>
      </c>
      <c r="H11" s="4" t="s">
        <v>74</v>
      </c>
      <c r="I11" s="4" t="s">
        <v>75</v>
      </c>
      <c r="J11" s="4" t="s">
        <v>76</v>
      </c>
      <c r="K11" s="4" t="s">
        <v>25</v>
      </c>
      <c r="L11" s="4" t="s">
        <v>25</v>
      </c>
      <c r="M11" s="3" t="s">
        <v>26</v>
      </c>
      <c r="N11" s="4"/>
      <c r="O11" s="4"/>
      <c r="P11" s="4"/>
    </row>
    <row r="12" spans="1:16" x14ac:dyDescent="0.35">
      <c r="A12" s="3">
        <v>11</v>
      </c>
      <c r="B12" s="4" t="s">
        <v>16</v>
      </c>
      <c r="C12" s="4" t="s">
        <v>77</v>
      </c>
      <c r="D12" s="7" t="s">
        <v>28</v>
      </c>
      <c r="E12" s="4" t="s">
        <v>78</v>
      </c>
      <c r="F12" s="4" t="s">
        <v>20</v>
      </c>
      <c r="G12" s="6" t="s">
        <v>79</v>
      </c>
      <c r="H12" s="4" t="s">
        <v>80</v>
      </c>
      <c r="I12" s="4" t="s">
        <v>81</v>
      </c>
      <c r="J12" s="4" t="s">
        <v>82</v>
      </c>
      <c r="K12" s="4" t="s">
        <v>25</v>
      </c>
      <c r="L12" s="4" t="s">
        <v>25</v>
      </c>
      <c r="M12" s="3" t="s">
        <v>26</v>
      </c>
      <c r="N12" s="4"/>
      <c r="O12" s="4"/>
      <c r="P12" s="4"/>
    </row>
    <row r="13" spans="1:16" x14ac:dyDescent="0.35">
      <c r="A13" s="3">
        <v>12</v>
      </c>
      <c r="B13" s="4" t="s">
        <v>16</v>
      </c>
      <c r="C13" s="4" t="s">
        <v>83</v>
      </c>
      <c r="D13" s="7" t="s">
        <v>28</v>
      </c>
      <c r="E13" s="4" t="s">
        <v>84</v>
      </c>
      <c r="F13" s="4" t="s">
        <v>20</v>
      </c>
      <c r="G13" s="6" t="s">
        <v>85</v>
      </c>
      <c r="H13" s="4" t="s">
        <v>80</v>
      </c>
      <c r="I13" s="4" t="s">
        <v>86</v>
      </c>
      <c r="J13" s="4" t="s">
        <v>87</v>
      </c>
      <c r="K13" s="4" t="s">
        <v>25</v>
      </c>
      <c r="L13" s="4" t="s">
        <v>25</v>
      </c>
      <c r="M13" s="3" t="s">
        <v>26</v>
      </c>
      <c r="N13" s="4"/>
      <c r="O13" s="4"/>
      <c r="P13" s="4"/>
    </row>
    <row r="14" spans="1:16" x14ac:dyDescent="0.35">
      <c r="A14" s="3">
        <v>13</v>
      </c>
      <c r="B14" s="4" t="s">
        <v>16</v>
      </c>
      <c r="C14" s="4" t="s">
        <v>88</v>
      </c>
      <c r="D14" s="7" t="s">
        <v>28</v>
      </c>
      <c r="E14" s="4" t="s">
        <v>89</v>
      </c>
      <c r="F14" s="4" t="s">
        <v>20</v>
      </c>
      <c r="G14" s="6" t="s">
        <v>90</v>
      </c>
      <c r="H14" s="4" t="s">
        <v>91</v>
      </c>
      <c r="I14" s="4" t="s">
        <v>86</v>
      </c>
      <c r="J14" s="4" t="s">
        <v>92</v>
      </c>
      <c r="K14" s="4" t="s">
        <v>25</v>
      </c>
      <c r="L14" s="4" t="s">
        <v>25</v>
      </c>
      <c r="M14" s="3" t="s">
        <v>26</v>
      </c>
      <c r="N14" s="4"/>
      <c r="O14" s="4"/>
      <c r="P14" s="4"/>
    </row>
    <row r="15" spans="1:16" x14ac:dyDescent="0.35">
      <c r="A15" s="3">
        <v>14</v>
      </c>
      <c r="B15" s="4" t="s">
        <v>16</v>
      </c>
      <c r="C15" s="4" t="s">
        <v>93</v>
      </c>
      <c r="D15" s="7" t="s">
        <v>28</v>
      </c>
      <c r="E15" s="4" t="s">
        <v>94</v>
      </c>
      <c r="F15" s="4" t="s">
        <v>20</v>
      </c>
      <c r="G15" s="6" t="s">
        <v>95</v>
      </c>
      <c r="H15" s="4" t="s">
        <v>96</v>
      </c>
      <c r="I15" s="4" t="s">
        <v>97</v>
      </c>
      <c r="J15" s="4" t="s">
        <v>98</v>
      </c>
      <c r="K15" s="4" t="s">
        <v>25</v>
      </c>
      <c r="L15" s="4" t="s">
        <v>25</v>
      </c>
      <c r="M15" s="3" t="s">
        <v>26</v>
      </c>
      <c r="N15" s="4"/>
      <c r="O15" s="4"/>
      <c r="P15" s="4"/>
    </row>
    <row r="16" spans="1:16" x14ac:dyDescent="0.35">
      <c r="A16" s="3">
        <v>15</v>
      </c>
      <c r="B16" s="4" t="s">
        <v>16</v>
      </c>
      <c r="C16" s="4" t="s">
        <v>99</v>
      </c>
      <c r="D16" s="7" t="s">
        <v>28</v>
      </c>
      <c r="E16" s="4" t="s">
        <v>100</v>
      </c>
      <c r="F16" s="4" t="s">
        <v>20</v>
      </c>
      <c r="G16" s="6" t="s">
        <v>101</v>
      </c>
      <c r="H16" s="4" t="s">
        <v>102</v>
      </c>
      <c r="I16" s="4" t="s">
        <v>103</v>
      </c>
      <c r="J16" s="4" t="s">
        <v>104</v>
      </c>
      <c r="K16" s="4" t="s">
        <v>25</v>
      </c>
      <c r="L16" s="4" t="s">
        <v>25</v>
      </c>
      <c r="M16" s="3" t="s">
        <v>26</v>
      </c>
      <c r="N16" s="4"/>
      <c r="O16" s="4"/>
      <c r="P16" s="4"/>
    </row>
    <row r="17" spans="1:16" x14ac:dyDescent="0.35">
      <c r="A17" s="3">
        <v>16</v>
      </c>
      <c r="B17" s="4" t="s">
        <v>16</v>
      </c>
      <c r="C17" s="4" t="s">
        <v>105</v>
      </c>
      <c r="D17" s="7" t="s">
        <v>28</v>
      </c>
      <c r="E17" s="4" t="s">
        <v>106</v>
      </c>
      <c r="F17" s="4" t="s">
        <v>20</v>
      </c>
      <c r="G17" s="6" t="s">
        <v>107</v>
      </c>
      <c r="H17" s="4" t="s">
        <v>108</v>
      </c>
      <c r="I17" s="4" t="s">
        <v>109</v>
      </c>
      <c r="J17" s="4" t="s">
        <v>110</v>
      </c>
      <c r="K17" s="4" t="s">
        <v>25</v>
      </c>
      <c r="L17" s="4" t="s">
        <v>25</v>
      </c>
      <c r="M17" s="3" t="s">
        <v>26</v>
      </c>
      <c r="N17" s="4"/>
      <c r="O17" s="4"/>
      <c r="P17" s="4"/>
    </row>
    <row r="18" spans="1:16" x14ac:dyDescent="0.35">
      <c r="A18" s="3">
        <v>17</v>
      </c>
      <c r="B18" s="4" t="s">
        <v>16</v>
      </c>
      <c r="C18" s="4" t="s">
        <v>111</v>
      </c>
      <c r="D18" s="7" t="s">
        <v>28</v>
      </c>
      <c r="E18" s="4" t="s">
        <v>112</v>
      </c>
      <c r="F18" s="4" t="s">
        <v>20</v>
      </c>
      <c r="G18" s="6" t="s">
        <v>113</v>
      </c>
      <c r="H18" s="4" t="s">
        <v>114</v>
      </c>
      <c r="I18" s="4" t="s">
        <v>115</v>
      </c>
      <c r="J18" s="4" t="s">
        <v>116</v>
      </c>
      <c r="K18" s="4" t="s">
        <v>25</v>
      </c>
      <c r="L18" s="4" t="s">
        <v>25</v>
      </c>
      <c r="M18" s="3" t="s">
        <v>26</v>
      </c>
      <c r="N18" s="4"/>
      <c r="O18" s="4"/>
      <c r="P18" s="4"/>
    </row>
    <row r="19" spans="1:16" x14ac:dyDescent="0.35">
      <c r="A19" s="3">
        <v>18</v>
      </c>
      <c r="B19" s="4" t="s">
        <v>16</v>
      </c>
      <c r="C19" s="4" t="s">
        <v>117</v>
      </c>
      <c r="D19" s="7" t="s">
        <v>28</v>
      </c>
      <c r="E19" s="4" t="s">
        <v>118</v>
      </c>
      <c r="F19" s="4" t="s">
        <v>20</v>
      </c>
      <c r="G19" s="6" t="s">
        <v>119</v>
      </c>
      <c r="H19" s="4" t="s">
        <v>120</v>
      </c>
      <c r="I19" s="4" t="s">
        <v>121</v>
      </c>
      <c r="J19" s="4" t="s">
        <v>122</v>
      </c>
      <c r="K19" s="4" t="s">
        <v>25</v>
      </c>
      <c r="L19" s="4" t="s">
        <v>25</v>
      </c>
      <c r="M19" s="3" t="s">
        <v>26</v>
      </c>
      <c r="N19" s="4"/>
      <c r="O19" s="4"/>
      <c r="P19" s="4"/>
    </row>
    <row r="20" spans="1:16" x14ac:dyDescent="0.35">
      <c r="A20" s="3">
        <v>19</v>
      </c>
      <c r="B20" s="4" t="s">
        <v>16</v>
      </c>
      <c r="C20" s="4" t="s">
        <v>123</v>
      </c>
      <c r="D20" s="7" t="s">
        <v>28</v>
      </c>
      <c r="E20" s="4" t="s">
        <v>124</v>
      </c>
      <c r="F20" s="4" t="s">
        <v>20</v>
      </c>
      <c r="G20" s="6" t="s">
        <v>125</v>
      </c>
      <c r="H20" s="4" t="s">
        <v>126</v>
      </c>
      <c r="I20" s="4" t="s">
        <v>127</v>
      </c>
      <c r="J20" s="4" t="s">
        <v>128</v>
      </c>
      <c r="K20" s="4" t="s">
        <v>25</v>
      </c>
      <c r="L20" s="4" t="s">
        <v>25</v>
      </c>
      <c r="M20" s="3" t="s">
        <v>26</v>
      </c>
      <c r="N20" s="4"/>
      <c r="O20" s="4"/>
      <c r="P20" s="4"/>
    </row>
    <row r="21" spans="1:16" x14ac:dyDescent="0.35">
      <c r="A21" s="3">
        <v>20</v>
      </c>
      <c r="B21" s="4" t="s">
        <v>16</v>
      </c>
      <c r="C21" s="4" t="s">
        <v>129</v>
      </c>
      <c r="D21" s="7" t="s">
        <v>28</v>
      </c>
      <c r="E21" s="4" t="s">
        <v>130</v>
      </c>
      <c r="F21" s="4" t="s">
        <v>20</v>
      </c>
      <c r="G21" s="6" t="s">
        <v>131</v>
      </c>
      <c r="H21" s="4" t="s">
        <v>132</v>
      </c>
      <c r="I21" s="4" t="s">
        <v>69</v>
      </c>
      <c r="J21" s="4" t="s">
        <v>133</v>
      </c>
      <c r="K21" s="4" t="s">
        <v>25</v>
      </c>
      <c r="L21" s="4" t="s">
        <v>25</v>
      </c>
      <c r="M21" s="3" t="s">
        <v>26</v>
      </c>
      <c r="N21" s="4"/>
      <c r="O21" s="4"/>
      <c r="P21" s="4"/>
    </row>
    <row r="22" spans="1:16" x14ac:dyDescent="0.35">
      <c r="A22" s="3">
        <v>21</v>
      </c>
      <c r="B22" s="4" t="s">
        <v>16</v>
      </c>
      <c r="C22" s="4" t="s">
        <v>134</v>
      </c>
      <c r="D22" s="7" t="s">
        <v>28</v>
      </c>
      <c r="E22" s="4" t="s">
        <v>135</v>
      </c>
      <c r="F22" s="4" t="s">
        <v>46</v>
      </c>
      <c r="G22" s="6" t="s">
        <v>136</v>
      </c>
      <c r="H22" s="4" t="s">
        <v>137</v>
      </c>
      <c r="I22" s="4" t="s">
        <v>86</v>
      </c>
      <c r="J22" s="4" t="s">
        <v>138</v>
      </c>
      <c r="K22" s="4" t="s">
        <v>25</v>
      </c>
      <c r="L22" s="4" t="s">
        <v>25</v>
      </c>
      <c r="M22" s="3" t="s">
        <v>26</v>
      </c>
      <c r="N22" s="4"/>
      <c r="O22" s="4"/>
      <c r="P22" s="4"/>
    </row>
    <row r="23" spans="1:16" x14ac:dyDescent="0.35">
      <c r="A23" s="3">
        <v>22</v>
      </c>
      <c r="B23" s="4" t="s">
        <v>16</v>
      </c>
      <c r="C23" s="4" t="s">
        <v>139</v>
      </c>
      <c r="D23" s="7" t="s">
        <v>28</v>
      </c>
      <c r="E23" s="4" t="s">
        <v>140</v>
      </c>
      <c r="F23" s="4" t="s">
        <v>46</v>
      </c>
      <c r="G23" s="6" t="s">
        <v>141</v>
      </c>
      <c r="H23" s="4" t="s">
        <v>142</v>
      </c>
      <c r="I23" s="4" t="s">
        <v>143</v>
      </c>
      <c r="J23" s="4" t="s">
        <v>144</v>
      </c>
      <c r="K23" s="4" t="s">
        <v>25</v>
      </c>
      <c r="L23" s="4" t="s">
        <v>25</v>
      </c>
      <c r="M23" s="3" t="s">
        <v>26</v>
      </c>
      <c r="N23" s="4"/>
      <c r="O23" s="4"/>
      <c r="P23" s="4"/>
    </row>
    <row r="24" spans="1:16" x14ac:dyDescent="0.35">
      <c r="A24" s="3">
        <v>23</v>
      </c>
      <c r="B24" s="4" t="s">
        <v>16</v>
      </c>
      <c r="C24" s="4" t="s">
        <v>145</v>
      </c>
      <c r="D24" s="7" t="s">
        <v>28</v>
      </c>
      <c r="E24" s="4" t="s">
        <v>146</v>
      </c>
      <c r="F24" s="4" t="s">
        <v>46</v>
      </c>
      <c r="G24" s="6" t="s">
        <v>147</v>
      </c>
      <c r="H24" s="4" t="s">
        <v>148</v>
      </c>
      <c r="I24" s="4" t="s">
        <v>149</v>
      </c>
      <c r="J24" s="4" t="s">
        <v>150</v>
      </c>
      <c r="K24" s="4" t="s">
        <v>25</v>
      </c>
      <c r="L24" s="4" t="s">
        <v>25</v>
      </c>
      <c r="M24" s="3" t="s">
        <v>26</v>
      </c>
      <c r="N24" s="4"/>
      <c r="O24" s="4"/>
      <c r="P24" s="4"/>
    </row>
    <row r="25" spans="1:16" x14ac:dyDescent="0.35">
      <c r="A25" s="3">
        <v>24</v>
      </c>
      <c r="B25" s="4" t="s">
        <v>16</v>
      </c>
      <c r="C25" s="4" t="s">
        <v>151</v>
      </c>
      <c r="D25" s="7" t="s">
        <v>28</v>
      </c>
      <c r="E25" s="4" t="s">
        <v>152</v>
      </c>
      <c r="F25" s="4" t="s">
        <v>46</v>
      </c>
      <c r="G25" s="6" t="s">
        <v>153</v>
      </c>
      <c r="H25" s="4" t="s">
        <v>154</v>
      </c>
      <c r="I25" s="4" t="s">
        <v>75</v>
      </c>
      <c r="J25" s="4" t="s">
        <v>155</v>
      </c>
      <c r="K25" s="4" t="s">
        <v>25</v>
      </c>
      <c r="L25" s="4" t="s">
        <v>25</v>
      </c>
      <c r="M25" s="3" t="s">
        <v>26</v>
      </c>
      <c r="N25" s="4"/>
      <c r="O25" s="4"/>
      <c r="P25" s="4"/>
    </row>
    <row r="26" spans="1:16" x14ac:dyDescent="0.35">
      <c r="A26" s="3">
        <v>25</v>
      </c>
      <c r="B26" s="4" t="s">
        <v>16</v>
      </c>
      <c r="C26" s="4" t="s">
        <v>156</v>
      </c>
      <c r="D26" s="7" t="s">
        <v>28</v>
      </c>
      <c r="E26" s="4" t="s">
        <v>157</v>
      </c>
      <c r="F26" s="4" t="s">
        <v>46</v>
      </c>
      <c r="G26" s="6" t="s">
        <v>158</v>
      </c>
      <c r="H26" s="4" t="s">
        <v>159</v>
      </c>
      <c r="I26" s="4" t="s">
        <v>160</v>
      </c>
      <c r="J26" s="4" t="s">
        <v>161</v>
      </c>
      <c r="K26" s="4" t="s">
        <v>25</v>
      </c>
      <c r="L26" s="4" t="s">
        <v>25</v>
      </c>
      <c r="M26" s="3" t="s">
        <v>26</v>
      </c>
      <c r="N26" s="4"/>
      <c r="O26" s="4"/>
      <c r="P26" s="4"/>
    </row>
    <row r="27" spans="1:16" x14ac:dyDescent="0.35">
      <c r="A27" s="3">
        <v>26</v>
      </c>
      <c r="B27" s="4" t="s">
        <v>162</v>
      </c>
      <c r="C27" s="4" t="s">
        <v>163</v>
      </c>
      <c r="D27" s="5" t="s">
        <v>18</v>
      </c>
      <c r="E27" s="4" t="s">
        <v>164</v>
      </c>
      <c r="F27" s="4"/>
      <c r="G27" s="8"/>
      <c r="H27" s="4" t="s">
        <v>165</v>
      </c>
      <c r="I27" s="4" t="s">
        <v>166</v>
      </c>
      <c r="J27" s="4" t="s">
        <v>167</v>
      </c>
      <c r="K27" s="4" t="s">
        <v>25</v>
      </c>
      <c r="L27" s="4" t="s">
        <v>25</v>
      </c>
      <c r="M27" s="3" t="s">
        <v>26</v>
      </c>
      <c r="N27" s="4"/>
      <c r="O27" s="4"/>
      <c r="P27" s="4"/>
    </row>
    <row r="28" spans="1:16" x14ac:dyDescent="0.35">
      <c r="A28" s="3">
        <v>27</v>
      </c>
      <c r="B28" s="4" t="s">
        <v>162</v>
      </c>
      <c r="C28" s="4" t="s">
        <v>168</v>
      </c>
      <c r="D28" s="5" t="s">
        <v>18</v>
      </c>
      <c r="E28" s="4" t="s">
        <v>169</v>
      </c>
      <c r="F28" s="4"/>
      <c r="G28" s="8"/>
      <c r="H28" s="4" t="s">
        <v>170</v>
      </c>
      <c r="I28" s="4" t="s">
        <v>37</v>
      </c>
      <c r="J28" s="4" t="s">
        <v>171</v>
      </c>
      <c r="K28" s="4" t="s">
        <v>25</v>
      </c>
      <c r="L28" s="4" t="s">
        <v>25</v>
      </c>
      <c r="M28" s="3" t="s">
        <v>26</v>
      </c>
      <c r="N28" s="4"/>
      <c r="O28" s="4"/>
      <c r="P28" s="4"/>
    </row>
    <row r="29" spans="1:16" x14ac:dyDescent="0.35">
      <c r="A29" s="3">
        <v>28</v>
      </c>
      <c r="B29" s="4" t="s">
        <v>162</v>
      </c>
      <c r="C29" s="4" t="s">
        <v>172</v>
      </c>
      <c r="D29" s="5" t="s">
        <v>18</v>
      </c>
      <c r="E29" s="4" t="s">
        <v>173</v>
      </c>
      <c r="F29" s="4"/>
      <c r="G29" s="8"/>
      <c r="H29" s="4" t="s">
        <v>174</v>
      </c>
      <c r="I29" s="4" t="s">
        <v>175</v>
      </c>
      <c r="J29" s="4" t="s">
        <v>176</v>
      </c>
      <c r="K29" s="4" t="s">
        <v>25</v>
      </c>
      <c r="L29" s="4" t="s">
        <v>25</v>
      </c>
      <c r="M29" s="3" t="s">
        <v>26</v>
      </c>
      <c r="N29" s="4"/>
      <c r="O29" s="4"/>
      <c r="P29" s="4"/>
    </row>
    <row r="30" spans="1:16" x14ac:dyDescent="0.35">
      <c r="A30" s="3">
        <v>29</v>
      </c>
      <c r="B30" s="4" t="s">
        <v>162</v>
      </c>
      <c r="C30" s="4" t="s">
        <v>177</v>
      </c>
      <c r="D30" s="7" t="s">
        <v>28</v>
      </c>
      <c r="E30" s="4" t="s">
        <v>178</v>
      </c>
      <c r="F30" s="4"/>
      <c r="G30" s="8"/>
      <c r="H30" s="4" t="s">
        <v>179</v>
      </c>
      <c r="I30" s="4" t="s">
        <v>180</v>
      </c>
      <c r="J30" s="4" t="s">
        <v>181</v>
      </c>
      <c r="K30" s="4" t="s">
        <v>25</v>
      </c>
      <c r="L30" s="4" t="s">
        <v>25</v>
      </c>
      <c r="M30" s="3" t="s">
        <v>26</v>
      </c>
      <c r="N30" s="4"/>
      <c r="O30" s="4"/>
      <c r="P30" s="4"/>
    </row>
    <row r="31" spans="1:16" x14ac:dyDescent="0.35">
      <c r="A31" s="3">
        <v>30</v>
      </c>
      <c r="B31" s="4" t="s">
        <v>162</v>
      </c>
      <c r="C31" s="4" t="s">
        <v>182</v>
      </c>
      <c r="D31" s="7" t="s">
        <v>28</v>
      </c>
      <c r="E31" s="4" t="s">
        <v>183</v>
      </c>
      <c r="F31" s="4"/>
      <c r="G31" s="8"/>
      <c r="H31" s="4" t="s">
        <v>184</v>
      </c>
      <c r="I31" s="4" t="s">
        <v>185</v>
      </c>
      <c r="J31" s="4" t="s">
        <v>186</v>
      </c>
      <c r="K31" s="4" t="s">
        <v>25</v>
      </c>
      <c r="L31" s="4" t="s">
        <v>25</v>
      </c>
      <c r="M31" s="3" t="s">
        <v>26</v>
      </c>
      <c r="N31" s="4"/>
      <c r="O31" s="4"/>
      <c r="P31" s="4"/>
    </row>
    <row r="32" spans="1:16" x14ac:dyDescent="0.35">
      <c r="A32" s="3">
        <v>31</v>
      </c>
      <c r="B32" s="4" t="s">
        <v>162</v>
      </c>
      <c r="C32" s="4" t="s">
        <v>187</v>
      </c>
      <c r="D32" s="7" t="s">
        <v>28</v>
      </c>
      <c r="E32" s="4" t="s">
        <v>188</v>
      </c>
      <c r="F32" s="4"/>
      <c r="G32" s="8"/>
      <c r="H32" s="4" t="s">
        <v>189</v>
      </c>
      <c r="I32" s="4" t="s">
        <v>190</v>
      </c>
      <c r="J32" s="4" t="s">
        <v>191</v>
      </c>
      <c r="K32" s="4" t="s">
        <v>25</v>
      </c>
      <c r="L32" s="4" t="s">
        <v>25</v>
      </c>
      <c r="M32" s="3" t="s">
        <v>26</v>
      </c>
      <c r="N32" s="4"/>
      <c r="O32" s="4"/>
      <c r="P32" s="4"/>
    </row>
    <row r="33" spans="1:16" x14ac:dyDescent="0.35">
      <c r="A33" s="3">
        <v>32</v>
      </c>
      <c r="B33" s="4" t="s">
        <v>162</v>
      </c>
      <c r="C33" s="4" t="s">
        <v>192</v>
      </c>
      <c r="D33" s="7" t="s">
        <v>28</v>
      </c>
      <c r="E33" s="4" t="s">
        <v>193</v>
      </c>
      <c r="F33" s="4" t="s">
        <v>46</v>
      </c>
      <c r="G33" s="6" t="s">
        <v>194</v>
      </c>
      <c r="H33" s="4" t="s">
        <v>195</v>
      </c>
      <c r="I33" s="4" t="s">
        <v>37</v>
      </c>
      <c r="J33" s="4" t="s">
        <v>196</v>
      </c>
      <c r="K33" s="4" t="s">
        <v>25</v>
      </c>
      <c r="L33" s="4" t="s">
        <v>25</v>
      </c>
      <c r="M33" s="3" t="s">
        <v>26</v>
      </c>
      <c r="N33" s="4"/>
      <c r="O33" s="4"/>
      <c r="P33" s="4"/>
    </row>
    <row r="34" spans="1:16" x14ac:dyDescent="0.35">
      <c r="A34" s="3">
        <v>33</v>
      </c>
      <c r="B34" s="4" t="s">
        <v>162</v>
      </c>
      <c r="C34" s="4" t="s">
        <v>197</v>
      </c>
      <c r="D34" s="7" t="s">
        <v>28</v>
      </c>
      <c r="E34" s="4" t="s">
        <v>198</v>
      </c>
      <c r="F34" s="4" t="s">
        <v>46</v>
      </c>
      <c r="G34" s="6" t="s">
        <v>199</v>
      </c>
      <c r="H34" s="4" t="s">
        <v>200</v>
      </c>
      <c r="I34" s="4" t="s">
        <v>201</v>
      </c>
      <c r="J34" s="4" t="s">
        <v>202</v>
      </c>
      <c r="K34" s="4" t="s">
        <v>25</v>
      </c>
      <c r="L34" s="4" t="s">
        <v>25</v>
      </c>
      <c r="M34" s="3" t="s">
        <v>26</v>
      </c>
      <c r="N34" s="4"/>
      <c r="O34" s="4"/>
      <c r="P34" s="4"/>
    </row>
    <row r="35" spans="1:16" x14ac:dyDescent="0.35">
      <c r="A35" s="3">
        <v>34</v>
      </c>
      <c r="B35" s="4" t="s">
        <v>162</v>
      </c>
      <c r="C35" s="4" t="s">
        <v>203</v>
      </c>
      <c r="D35" s="7" t="s">
        <v>28</v>
      </c>
      <c r="E35" s="4" t="s">
        <v>204</v>
      </c>
      <c r="F35" s="4" t="s">
        <v>46</v>
      </c>
      <c r="G35" s="6" t="s">
        <v>205</v>
      </c>
      <c r="H35" s="4" t="s">
        <v>206</v>
      </c>
      <c r="I35" s="4" t="s">
        <v>207</v>
      </c>
      <c r="J35" s="4" t="s">
        <v>208</v>
      </c>
      <c r="K35" s="4" t="s">
        <v>25</v>
      </c>
      <c r="L35" s="4" t="s">
        <v>25</v>
      </c>
      <c r="M35" s="3" t="s">
        <v>26</v>
      </c>
      <c r="N35" s="4"/>
      <c r="O35" s="4"/>
      <c r="P35" s="4"/>
    </row>
    <row r="36" spans="1:16" x14ac:dyDescent="0.35">
      <c r="A36" s="3">
        <v>35</v>
      </c>
      <c r="B36" s="4" t="s">
        <v>162</v>
      </c>
      <c r="C36" s="4" t="s">
        <v>209</v>
      </c>
      <c r="D36" s="7" t="s">
        <v>28</v>
      </c>
      <c r="E36" s="4" t="s">
        <v>210</v>
      </c>
      <c r="F36" s="4" t="s">
        <v>46</v>
      </c>
      <c r="G36" s="6" t="s">
        <v>211</v>
      </c>
      <c r="H36" s="4" t="s">
        <v>212</v>
      </c>
      <c r="I36" s="4" t="s">
        <v>37</v>
      </c>
      <c r="J36" s="4" t="s">
        <v>213</v>
      </c>
      <c r="K36" s="4" t="s">
        <v>25</v>
      </c>
      <c r="L36" s="4" t="s">
        <v>25</v>
      </c>
      <c r="M36" s="3" t="s">
        <v>26</v>
      </c>
      <c r="N36" s="4"/>
      <c r="O36" s="4"/>
      <c r="P36" s="4"/>
    </row>
    <row r="37" spans="1:16" x14ac:dyDescent="0.35">
      <c r="A37" s="3">
        <v>36</v>
      </c>
      <c r="B37" s="4" t="s">
        <v>162</v>
      </c>
      <c r="C37" s="4" t="s">
        <v>214</v>
      </c>
      <c r="D37" s="7" t="s">
        <v>28</v>
      </c>
      <c r="E37" s="4" t="s">
        <v>215</v>
      </c>
      <c r="F37" s="4"/>
      <c r="G37" s="8"/>
      <c r="H37" s="4" t="s">
        <v>216</v>
      </c>
      <c r="I37" s="4" t="s">
        <v>69</v>
      </c>
      <c r="J37" s="4" t="s">
        <v>217</v>
      </c>
      <c r="K37" s="4" t="s">
        <v>25</v>
      </c>
      <c r="L37" s="4" t="s">
        <v>25</v>
      </c>
      <c r="M37" s="3" t="s">
        <v>26</v>
      </c>
      <c r="N37" s="4"/>
      <c r="O37" s="4"/>
      <c r="P37" s="4"/>
    </row>
    <row r="38" spans="1:16" x14ac:dyDescent="0.35">
      <c r="A38" s="3">
        <v>37</v>
      </c>
      <c r="B38" s="4" t="s">
        <v>162</v>
      </c>
      <c r="C38" s="4" t="s">
        <v>218</v>
      </c>
      <c r="D38" s="9" t="s">
        <v>219</v>
      </c>
      <c r="E38" s="4" t="s">
        <v>220</v>
      </c>
      <c r="F38" s="4"/>
      <c r="G38" s="8"/>
      <c r="H38" s="4" t="s">
        <v>221</v>
      </c>
      <c r="I38" s="4" t="s">
        <v>222</v>
      </c>
      <c r="J38" s="4" t="s">
        <v>223</v>
      </c>
      <c r="K38" s="4" t="s">
        <v>25</v>
      </c>
      <c r="L38" s="4" t="s">
        <v>25</v>
      </c>
      <c r="M38" s="3" t="s">
        <v>26</v>
      </c>
      <c r="N38" s="4"/>
      <c r="O38" s="4"/>
      <c r="P38" s="4"/>
    </row>
    <row r="39" spans="1:16" x14ac:dyDescent="0.35">
      <c r="A39" s="3">
        <v>38</v>
      </c>
      <c r="B39" s="4" t="s">
        <v>162</v>
      </c>
      <c r="C39" s="4" t="s">
        <v>224</v>
      </c>
      <c r="D39" s="7" t="s">
        <v>28</v>
      </c>
      <c r="E39" s="4" t="s">
        <v>225</v>
      </c>
      <c r="F39" s="4" t="s">
        <v>46</v>
      </c>
      <c r="G39" s="6" t="s">
        <v>226</v>
      </c>
      <c r="H39" s="4" t="s">
        <v>227</v>
      </c>
      <c r="I39" s="4" t="s">
        <v>97</v>
      </c>
      <c r="J39" s="4" t="s">
        <v>228</v>
      </c>
      <c r="K39" s="4" t="s">
        <v>25</v>
      </c>
      <c r="L39" s="4" t="s">
        <v>25</v>
      </c>
      <c r="M39" s="3" t="s">
        <v>26</v>
      </c>
      <c r="N39" s="4"/>
      <c r="O39" s="4"/>
      <c r="P39" s="4"/>
    </row>
    <row r="40" spans="1:16" x14ac:dyDescent="0.35">
      <c r="A40" s="3">
        <v>39</v>
      </c>
      <c r="B40" s="4" t="s">
        <v>162</v>
      </c>
      <c r="C40" s="4" t="s">
        <v>229</v>
      </c>
      <c r="D40" s="7" t="s">
        <v>28</v>
      </c>
      <c r="E40" s="4" t="s">
        <v>230</v>
      </c>
      <c r="F40" s="4" t="s">
        <v>46</v>
      </c>
      <c r="G40" s="6" t="s">
        <v>231</v>
      </c>
      <c r="H40" s="4" t="s">
        <v>232</v>
      </c>
      <c r="I40" s="4" t="s">
        <v>233</v>
      </c>
      <c r="J40" s="4" t="s">
        <v>234</v>
      </c>
      <c r="K40" s="4" t="s">
        <v>25</v>
      </c>
      <c r="L40" s="4" t="s">
        <v>25</v>
      </c>
      <c r="M40" s="3" t="s">
        <v>26</v>
      </c>
      <c r="N40" s="4"/>
      <c r="O40" s="4"/>
      <c r="P40" s="4"/>
    </row>
    <row r="41" spans="1:16" x14ac:dyDescent="0.35">
      <c r="A41" s="3">
        <v>40</v>
      </c>
      <c r="B41" s="4" t="s">
        <v>162</v>
      </c>
      <c r="C41" s="4" t="s">
        <v>235</v>
      </c>
      <c r="D41" s="7" t="s">
        <v>28</v>
      </c>
      <c r="E41" s="4" t="s">
        <v>236</v>
      </c>
      <c r="F41" s="4" t="s">
        <v>46</v>
      </c>
      <c r="G41" s="6" t="s">
        <v>237</v>
      </c>
      <c r="H41" s="4" t="s">
        <v>238</v>
      </c>
      <c r="I41" s="4" t="s">
        <v>232</v>
      </c>
      <c r="J41" s="4" t="s">
        <v>239</v>
      </c>
      <c r="K41" s="4" t="s">
        <v>25</v>
      </c>
      <c r="L41" s="4" t="s">
        <v>25</v>
      </c>
      <c r="M41" s="3" t="s">
        <v>26</v>
      </c>
      <c r="N41" s="4"/>
      <c r="O41" s="4"/>
      <c r="P41" s="4"/>
    </row>
    <row r="42" spans="1:16" x14ac:dyDescent="0.35">
      <c r="A42" s="3">
        <v>41</v>
      </c>
      <c r="B42" s="4" t="s">
        <v>162</v>
      </c>
      <c r="C42" s="4" t="s">
        <v>240</v>
      </c>
      <c r="D42" s="7" t="s">
        <v>28</v>
      </c>
      <c r="E42" s="4" t="s">
        <v>241</v>
      </c>
      <c r="F42" s="4" t="s">
        <v>46</v>
      </c>
      <c r="G42" s="6" t="s">
        <v>242</v>
      </c>
      <c r="H42" s="4" t="s">
        <v>243</v>
      </c>
      <c r="I42" s="4" t="s">
        <v>244</v>
      </c>
      <c r="J42" s="4" t="s">
        <v>245</v>
      </c>
      <c r="K42" s="4" t="s">
        <v>25</v>
      </c>
      <c r="L42" s="4" t="s">
        <v>25</v>
      </c>
      <c r="M42" s="3" t="s">
        <v>26</v>
      </c>
      <c r="N42" s="4"/>
      <c r="O42" s="4"/>
      <c r="P42" s="4"/>
    </row>
    <row r="43" spans="1:16" x14ac:dyDescent="0.35">
      <c r="A43" s="3">
        <v>42</v>
      </c>
      <c r="B43" s="4" t="s">
        <v>162</v>
      </c>
      <c r="C43" s="4" t="s">
        <v>246</v>
      </c>
      <c r="D43" s="7" t="s">
        <v>28</v>
      </c>
      <c r="E43" s="4" t="s">
        <v>247</v>
      </c>
      <c r="F43" s="4" t="s">
        <v>46</v>
      </c>
      <c r="G43" s="6" t="s">
        <v>248</v>
      </c>
      <c r="H43" s="4" t="s">
        <v>249</v>
      </c>
      <c r="I43" s="4" t="s">
        <v>37</v>
      </c>
      <c r="J43" s="4" t="s">
        <v>250</v>
      </c>
      <c r="K43" s="4" t="s">
        <v>25</v>
      </c>
      <c r="L43" s="4" t="s">
        <v>25</v>
      </c>
      <c r="M43" s="3" t="s">
        <v>26</v>
      </c>
      <c r="N43" s="4"/>
      <c r="O43" s="4"/>
      <c r="P43" s="4"/>
    </row>
    <row r="44" spans="1:16" x14ac:dyDescent="0.35">
      <c r="A44" s="3">
        <v>43</v>
      </c>
      <c r="B44" s="4" t="s">
        <v>162</v>
      </c>
      <c r="C44" s="4" t="s">
        <v>251</v>
      </c>
      <c r="D44" s="7" t="s">
        <v>28</v>
      </c>
      <c r="E44" s="4" t="s">
        <v>252</v>
      </c>
      <c r="F44" s="4"/>
      <c r="G44" s="8"/>
      <c r="H44" s="4" t="s">
        <v>253</v>
      </c>
      <c r="I44" s="4" t="s">
        <v>254</v>
      </c>
      <c r="J44" s="4" t="s">
        <v>255</v>
      </c>
      <c r="K44" s="4" t="s">
        <v>25</v>
      </c>
      <c r="L44" s="4" t="s">
        <v>25</v>
      </c>
      <c r="M44" s="3" t="s">
        <v>26</v>
      </c>
      <c r="N44" s="4"/>
      <c r="O44" s="4"/>
      <c r="P44" s="4"/>
    </row>
    <row r="45" spans="1:16" x14ac:dyDescent="0.35">
      <c r="A45" s="3">
        <v>44</v>
      </c>
      <c r="B45" s="4" t="s">
        <v>162</v>
      </c>
      <c r="C45" s="4" t="s">
        <v>256</v>
      </c>
      <c r="D45" s="9" t="s">
        <v>219</v>
      </c>
      <c r="E45" s="4" t="s">
        <v>257</v>
      </c>
      <c r="F45" s="4" t="s">
        <v>20</v>
      </c>
      <c r="G45" s="6" t="s">
        <v>258</v>
      </c>
      <c r="H45" s="4" t="s">
        <v>259</v>
      </c>
      <c r="I45" s="4" t="s">
        <v>260</v>
      </c>
      <c r="J45" s="4" t="s">
        <v>261</v>
      </c>
      <c r="K45" s="4" t="s">
        <v>25</v>
      </c>
      <c r="L45" s="4" t="s">
        <v>25</v>
      </c>
      <c r="M45" s="3" t="s">
        <v>26</v>
      </c>
      <c r="N45" s="4"/>
      <c r="O45" s="4"/>
      <c r="P45" s="4"/>
    </row>
    <row r="46" spans="1:16" x14ac:dyDescent="0.35">
      <c r="A46" s="3">
        <v>45</v>
      </c>
      <c r="B46" s="4" t="s">
        <v>162</v>
      </c>
      <c r="C46" s="4" t="s">
        <v>262</v>
      </c>
      <c r="D46" s="7" t="s">
        <v>28</v>
      </c>
      <c r="E46" s="4" t="s">
        <v>263</v>
      </c>
      <c r="F46" s="4" t="s">
        <v>46</v>
      </c>
      <c r="G46" s="6" t="s">
        <v>264</v>
      </c>
      <c r="H46" s="4" t="s">
        <v>265</v>
      </c>
      <c r="I46" s="4" t="s">
        <v>86</v>
      </c>
      <c r="J46" s="4" t="s">
        <v>266</v>
      </c>
      <c r="K46" s="4" t="s">
        <v>25</v>
      </c>
      <c r="L46" s="4" t="s">
        <v>25</v>
      </c>
      <c r="M46" s="3" t="s">
        <v>26</v>
      </c>
      <c r="N46" s="4"/>
      <c r="O46" s="4"/>
      <c r="P46" s="4"/>
    </row>
    <row r="47" spans="1:16" x14ac:dyDescent="0.35">
      <c r="A47" s="3">
        <v>46</v>
      </c>
      <c r="B47" s="4" t="s">
        <v>267</v>
      </c>
      <c r="C47" s="4" t="s">
        <v>268</v>
      </c>
      <c r="D47" s="5" t="s">
        <v>18</v>
      </c>
      <c r="E47" s="4" t="s">
        <v>269</v>
      </c>
      <c r="F47" s="4" t="s">
        <v>46</v>
      </c>
      <c r="G47" s="6" t="s">
        <v>141</v>
      </c>
      <c r="H47" s="4" t="s">
        <v>270</v>
      </c>
      <c r="I47" s="4" t="s">
        <v>143</v>
      </c>
      <c r="J47" s="4" t="s">
        <v>271</v>
      </c>
      <c r="K47" s="4" t="s">
        <v>25</v>
      </c>
      <c r="L47" s="4" t="s">
        <v>25</v>
      </c>
      <c r="M47" s="3" t="s">
        <v>26</v>
      </c>
      <c r="N47" s="4"/>
      <c r="O47" s="4"/>
      <c r="P47" s="4"/>
    </row>
    <row r="48" spans="1:16" x14ac:dyDescent="0.35">
      <c r="A48" s="3">
        <v>47</v>
      </c>
      <c r="B48" s="4" t="s">
        <v>267</v>
      </c>
      <c r="C48" s="4" t="s">
        <v>272</v>
      </c>
      <c r="D48" s="5" t="s">
        <v>18</v>
      </c>
      <c r="E48" s="4" t="s">
        <v>273</v>
      </c>
      <c r="F48" s="4" t="s">
        <v>46</v>
      </c>
      <c r="G48" s="6" t="s">
        <v>274</v>
      </c>
      <c r="H48" s="4" t="s">
        <v>275</v>
      </c>
      <c r="I48" s="4" t="s">
        <v>37</v>
      </c>
      <c r="J48" s="4" t="s">
        <v>276</v>
      </c>
      <c r="K48" s="4" t="s">
        <v>25</v>
      </c>
      <c r="L48" s="4" t="s">
        <v>25</v>
      </c>
      <c r="M48" s="3" t="s">
        <v>26</v>
      </c>
      <c r="N48" s="4"/>
      <c r="O48" s="4"/>
      <c r="P48" s="4"/>
    </row>
    <row r="49" spans="1:16" x14ac:dyDescent="0.35">
      <c r="A49" s="3">
        <v>48</v>
      </c>
      <c r="B49" s="4" t="s">
        <v>267</v>
      </c>
      <c r="C49" s="4" t="s">
        <v>277</v>
      </c>
      <c r="D49" s="5" t="s">
        <v>18</v>
      </c>
      <c r="E49" s="4" t="s">
        <v>278</v>
      </c>
      <c r="F49" s="4" t="s">
        <v>46</v>
      </c>
      <c r="G49" s="6" t="s">
        <v>194</v>
      </c>
      <c r="H49" s="4" t="s">
        <v>279</v>
      </c>
      <c r="I49" s="4" t="s">
        <v>37</v>
      </c>
      <c r="J49" s="4" t="s">
        <v>280</v>
      </c>
      <c r="K49" s="4" t="s">
        <v>25</v>
      </c>
      <c r="L49" s="4" t="s">
        <v>25</v>
      </c>
      <c r="M49" s="3" t="s">
        <v>26</v>
      </c>
      <c r="N49" s="4"/>
      <c r="O49" s="4"/>
      <c r="P49" s="4"/>
    </row>
    <row r="50" spans="1:16" x14ac:dyDescent="0.35">
      <c r="A50" s="3">
        <v>49</v>
      </c>
      <c r="B50" s="4" t="s">
        <v>267</v>
      </c>
      <c r="C50" s="4" t="s">
        <v>281</v>
      </c>
      <c r="D50" s="7" t="s">
        <v>28</v>
      </c>
      <c r="E50" s="4" t="s">
        <v>282</v>
      </c>
      <c r="F50" s="4"/>
      <c r="G50" s="8"/>
      <c r="H50" s="4" t="s">
        <v>283</v>
      </c>
      <c r="I50" s="4" t="s">
        <v>284</v>
      </c>
      <c r="J50" s="4" t="s">
        <v>285</v>
      </c>
      <c r="K50" s="4" t="s">
        <v>25</v>
      </c>
      <c r="L50" s="4" t="s">
        <v>25</v>
      </c>
      <c r="M50" s="3" t="s">
        <v>26</v>
      </c>
      <c r="N50" s="4"/>
      <c r="O50" s="4"/>
      <c r="P50" s="4"/>
    </row>
    <row r="51" spans="1:16" x14ac:dyDescent="0.35">
      <c r="A51" s="3">
        <v>50</v>
      </c>
      <c r="B51" s="4" t="s">
        <v>267</v>
      </c>
      <c r="C51" s="4" t="s">
        <v>286</v>
      </c>
      <c r="D51" s="7" t="s">
        <v>28</v>
      </c>
      <c r="E51" s="4" t="s">
        <v>287</v>
      </c>
      <c r="F51" s="4" t="s">
        <v>46</v>
      </c>
      <c r="G51" s="6" t="s">
        <v>288</v>
      </c>
      <c r="H51" s="4" t="s">
        <v>289</v>
      </c>
      <c r="I51" s="4" t="s">
        <v>290</v>
      </c>
      <c r="J51" s="4" t="s">
        <v>291</v>
      </c>
      <c r="K51" s="4" t="s">
        <v>25</v>
      </c>
      <c r="L51" s="4" t="s">
        <v>25</v>
      </c>
      <c r="M51" s="3" t="s">
        <v>26</v>
      </c>
      <c r="N51" s="4"/>
      <c r="O51" s="4"/>
      <c r="P51" s="4"/>
    </row>
    <row r="52" spans="1:16" x14ac:dyDescent="0.35">
      <c r="A52" s="3">
        <v>51</v>
      </c>
      <c r="B52" s="4" t="s">
        <v>267</v>
      </c>
      <c r="C52" s="4" t="s">
        <v>292</v>
      </c>
      <c r="D52" s="7" t="s">
        <v>28</v>
      </c>
      <c r="E52" s="4" t="s">
        <v>293</v>
      </c>
      <c r="F52" s="4" t="s">
        <v>46</v>
      </c>
      <c r="G52" s="6" t="s">
        <v>294</v>
      </c>
      <c r="H52" s="4" t="s">
        <v>295</v>
      </c>
      <c r="I52" s="4" t="s">
        <v>296</v>
      </c>
      <c r="J52" s="4" t="s">
        <v>297</v>
      </c>
      <c r="K52" s="4" t="s">
        <v>25</v>
      </c>
      <c r="L52" s="4" t="s">
        <v>25</v>
      </c>
      <c r="M52" s="3" t="s">
        <v>26</v>
      </c>
      <c r="N52" s="4"/>
      <c r="O52" s="4"/>
      <c r="P52" s="4"/>
    </row>
    <row r="53" spans="1:16" x14ac:dyDescent="0.35">
      <c r="A53" s="3">
        <v>52</v>
      </c>
      <c r="B53" s="4" t="s">
        <v>267</v>
      </c>
      <c r="C53" s="4" t="s">
        <v>298</v>
      </c>
      <c r="D53" s="7" t="s">
        <v>28</v>
      </c>
      <c r="E53" s="4" t="s">
        <v>299</v>
      </c>
      <c r="F53" s="4"/>
      <c r="G53" s="8"/>
      <c r="H53" s="4" t="s">
        <v>300</v>
      </c>
      <c r="I53" s="4" t="s">
        <v>301</v>
      </c>
      <c r="J53" s="4" t="s">
        <v>302</v>
      </c>
      <c r="K53" s="4" t="s">
        <v>25</v>
      </c>
      <c r="L53" s="4" t="s">
        <v>25</v>
      </c>
      <c r="M53" s="3" t="s">
        <v>26</v>
      </c>
      <c r="N53" s="4"/>
      <c r="O53" s="4"/>
      <c r="P53" s="4"/>
    </row>
    <row r="54" spans="1:16" x14ac:dyDescent="0.35">
      <c r="A54" s="3">
        <v>53</v>
      </c>
      <c r="B54" s="4" t="s">
        <v>267</v>
      </c>
      <c r="C54" s="4" t="s">
        <v>303</v>
      </c>
      <c r="D54" s="7" t="s">
        <v>28</v>
      </c>
      <c r="E54" s="4" t="s">
        <v>304</v>
      </c>
      <c r="F54" s="4" t="s">
        <v>46</v>
      </c>
      <c r="G54" s="6" t="s">
        <v>153</v>
      </c>
      <c r="H54" s="4" t="s">
        <v>154</v>
      </c>
      <c r="I54" s="4" t="s">
        <v>75</v>
      </c>
      <c r="J54" s="4" t="s">
        <v>305</v>
      </c>
      <c r="K54" s="4" t="s">
        <v>25</v>
      </c>
      <c r="L54" s="4" t="s">
        <v>25</v>
      </c>
      <c r="M54" s="3" t="s">
        <v>26</v>
      </c>
      <c r="N54" s="4"/>
      <c r="O54" s="4"/>
      <c r="P54" s="4"/>
    </row>
    <row r="55" spans="1:16" x14ac:dyDescent="0.35">
      <c r="A55" s="3">
        <v>54</v>
      </c>
      <c r="B55" s="4" t="s">
        <v>267</v>
      </c>
      <c r="C55" s="4" t="s">
        <v>306</v>
      </c>
      <c r="D55" s="7" t="s">
        <v>28</v>
      </c>
      <c r="E55" s="4" t="s">
        <v>252</v>
      </c>
      <c r="F55" s="4" t="s">
        <v>46</v>
      </c>
      <c r="G55" s="6" t="s">
        <v>307</v>
      </c>
      <c r="H55" s="4" t="s">
        <v>253</v>
      </c>
      <c r="I55" s="4" t="s">
        <v>308</v>
      </c>
      <c r="J55" s="4" t="s">
        <v>309</v>
      </c>
      <c r="K55" s="4" t="s">
        <v>25</v>
      </c>
      <c r="L55" s="4" t="s">
        <v>25</v>
      </c>
      <c r="M55" s="3" t="s">
        <v>26</v>
      </c>
      <c r="N55" s="4"/>
      <c r="O55" s="4"/>
      <c r="P55" s="4"/>
    </row>
    <row r="56" spans="1:16" x14ac:dyDescent="0.35">
      <c r="A56" s="3">
        <v>55</v>
      </c>
      <c r="B56" s="4" t="s">
        <v>267</v>
      </c>
      <c r="C56" s="4" t="s">
        <v>310</v>
      </c>
      <c r="D56" s="7" t="s">
        <v>28</v>
      </c>
      <c r="E56" s="4" t="s">
        <v>311</v>
      </c>
      <c r="F56" s="4" t="s">
        <v>46</v>
      </c>
      <c r="G56" s="6" t="s">
        <v>312</v>
      </c>
      <c r="H56" s="4" t="s">
        <v>313</v>
      </c>
      <c r="I56" s="4" t="s">
        <v>86</v>
      </c>
      <c r="J56" s="4" t="s">
        <v>314</v>
      </c>
      <c r="K56" s="4" t="s">
        <v>25</v>
      </c>
      <c r="L56" s="4" t="s">
        <v>25</v>
      </c>
      <c r="M56" s="3" t="s">
        <v>26</v>
      </c>
      <c r="N56" s="4"/>
      <c r="O56" s="4"/>
      <c r="P56" s="4"/>
    </row>
    <row r="57" spans="1:16" x14ac:dyDescent="0.35">
      <c r="A57" s="3">
        <v>56</v>
      </c>
      <c r="B57" s="4" t="s">
        <v>267</v>
      </c>
      <c r="C57" s="4" t="s">
        <v>315</v>
      </c>
      <c r="D57" s="7" t="s">
        <v>28</v>
      </c>
      <c r="E57" s="4" t="s">
        <v>316</v>
      </c>
      <c r="F57" s="4"/>
      <c r="G57" s="8"/>
      <c r="H57" s="4" t="s">
        <v>317</v>
      </c>
      <c r="I57" s="4" t="s">
        <v>75</v>
      </c>
      <c r="J57" s="4" t="s">
        <v>318</v>
      </c>
      <c r="K57" s="4" t="s">
        <v>25</v>
      </c>
      <c r="L57" s="4" t="s">
        <v>25</v>
      </c>
      <c r="M57" s="3" t="s">
        <v>26</v>
      </c>
      <c r="N57" s="4"/>
      <c r="O57" s="4"/>
      <c r="P57" s="4"/>
    </row>
    <row r="58" spans="1:16" x14ac:dyDescent="0.35">
      <c r="A58" s="3">
        <v>57</v>
      </c>
      <c r="B58" s="4" t="s">
        <v>267</v>
      </c>
      <c r="C58" s="4" t="s">
        <v>319</v>
      </c>
      <c r="D58" s="7" t="s">
        <v>28</v>
      </c>
      <c r="E58" s="4" t="s">
        <v>320</v>
      </c>
      <c r="F58" s="4" t="s">
        <v>46</v>
      </c>
      <c r="G58" s="6" t="s">
        <v>312</v>
      </c>
      <c r="H58" s="4" t="s">
        <v>321</v>
      </c>
      <c r="I58" s="4" t="s">
        <v>86</v>
      </c>
      <c r="J58" s="4" t="s">
        <v>322</v>
      </c>
      <c r="K58" s="4" t="s">
        <v>25</v>
      </c>
      <c r="L58" s="4" t="s">
        <v>25</v>
      </c>
      <c r="M58" s="3" t="s">
        <v>26</v>
      </c>
      <c r="N58" s="4"/>
      <c r="O58" s="4"/>
      <c r="P58" s="4"/>
    </row>
    <row r="59" spans="1:16" x14ac:dyDescent="0.35">
      <c r="A59" s="3">
        <v>58</v>
      </c>
      <c r="B59" s="4" t="s">
        <v>267</v>
      </c>
      <c r="C59" s="4" t="s">
        <v>323</v>
      </c>
      <c r="D59" s="7" t="s">
        <v>28</v>
      </c>
      <c r="E59" s="4" t="s">
        <v>324</v>
      </c>
      <c r="F59" s="4" t="s">
        <v>46</v>
      </c>
      <c r="G59" s="6" t="s">
        <v>325</v>
      </c>
      <c r="H59" s="4" t="s">
        <v>326</v>
      </c>
      <c r="I59" s="4" t="s">
        <v>327</v>
      </c>
      <c r="J59" s="4" t="s">
        <v>328</v>
      </c>
      <c r="K59" s="4" t="s">
        <v>25</v>
      </c>
      <c r="L59" s="4" t="s">
        <v>25</v>
      </c>
      <c r="M59" s="3" t="s">
        <v>26</v>
      </c>
      <c r="N59" s="4"/>
      <c r="O59" s="4"/>
      <c r="P59" s="4"/>
    </row>
    <row r="60" spans="1:16" x14ac:dyDescent="0.35">
      <c r="A60" s="3">
        <v>59</v>
      </c>
      <c r="B60" s="4" t="s">
        <v>267</v>
      </c>
      <c r="C60" s="4" t="s">
        <v>329</v>
      </c>
      <c r="D60" s="7" t="s">
        <v>28</v>
      </c>
      <c r="E60" s="4" t="s">
        <v>330</v>
      </c>
      <c r="F60" s="4" t="s">
        <v>46</v>
      </c>
      <c r="G60" s="6" t="s">
        <v>248</v>
      </c>
      <c r="H60" s="4" t="s">
        <v>249</v>
      </c>
      <c r="I60" s="4" t="s">
        <v>37</v>
      </c>
      <c r="J60" s="4" t="s">
        <v>331</v>
      </c>
      <c r="K60" s="4" t="s">
        <v>25</v>
      </c>
      <c r="L60" s="4" t="s">
        <v>25</v>
      </c>
      <c r="M60" s="3" t="s">
        <v>26</v>
      </c>
      <c r="N60" s="4"/>
      <c r="O60" s="4"/>
      <c r="P60" s="4"/>
    </row>
    <row r="61" spans="1:16" x14ac:dyDescent="0.35">
      <c r="A61" s="3">
        <v>60</v>
      </c>
      <c r="B61" s="4" t="s">
        <v>267</v>
      </c>
      <c r="C61" s="4" t="s">
        <v>332</v>
      </c>
      <c r="D61" s="7" t="s">
        <v>28</v>
      </c>
      <c r="E61" s="4" t="s">
        <v>333</v>
      </c>
      <c r="F61" s="4" t="s">
        <v>46</v>
      </c>
      <c r="G61" s="6" t="s">
        <v>334</v>
      </c>
      <c r="H61" s="4" t="s">
        <v>335</v>
      </c>
      <c r="I61" s="4" t="s">
        <v>69</v>
      </c>
      <c r="J61" s="4" t="s">
        <v>336</v>
      </c>
      <c r="K61" s="4" t="s">
        <v>25</v>
      </c>
      <c r="L61" s="4" t="s">
        <v>25</v>
      </c>
      <c r="M61" s="3" t="s">
        <v>26</v>
      </c>
      <c r="N61" s="4"/>
      <c r="O61" s="4"/>
      <c r="P61" s="4"/>
    </row>
    <row r="62" spans="1:16" x14ac:dyDescent="0.35">
      <c r="A62" s="3">
        <v>61</v>
      </c>
      <c r="B62" s="4" t="s">
        <v>337</v>
      </c>
      <c r="C62" s="4" t="s">
        <v>338</v>
      </c>
      <c r="D62" s="7" t="s">
        <v>28</v>
      </c>
      <c r="E62" s="4" t="s">
        <v>339</v>
      </c>
      <c r="F62" s="4"/>
      <c r="G62" s="8"/>
      <c r="H62" s="4" t="s">
        <v>270</v>
      </c>
      <c r="I62" s="4" t="s">
        <v>143</v>
      </c>
      <c r="J62" s="4" t="s">
        <v>340</v>
      </c>
      <c r="K62" s="4" t="s">
        <v>25</v>
      </c>
      <c r="L62" s="4" t="s">
        <v>25</v>
      </c>
      <c r="M62" s="3" t="s">
        <v>26</v>
      </c>
      <c r="N62" s="4"/>
      <c r="O62" s="4"/>
      <c r="P62" s="4"/>
    </row>
    <row r="63" spans="1:16" x14ac:dyDescent="0.35">
      <c r="A63" s="3">
        <v>62</v>
      </c>
      <c r="B63" s="4" t="s">
        <v>337</v>
      </c>
      <c r="C63" s="4" t="s">
        <v>341</v>
      </c>
      <c r="D63" s="7" t="s">
        <v>28</v>
      </c>
      <c r="E63" s="4" t="s">
        <v>342</v>
      </c>
      <c r="F63" s="4" t="s">
        <v>46</v>
      </c>
      <c r="G63" s="6" t="s">
        <v>343</v>
      </c>
      <c r="H63" s="4" t="s">
        <v>41</v>
      </c>
      <c r="I63" s="4" t="s">
        <v>42</v>
      </c>
      <c r="J63" s="4" t="s">
        <v>344</v>
      </c>
      <c r="K63" s="4" t="s">
        <v>25</v>
      </c>
      <c r="L63" s="4" t="s">
        <v>25</v>
      </c>
      <c r="M63" s="3" t="s">
        <v>26</v>
      </c>
      <c r="N63" s="4"/>
      <c r="O63" s="4"/>
      <c r="P63" s="4"/>
    </row>
    <row r="64" spans="1:16" x14ac:dyDescent="0.35">
      <c r="A64" s="3">
        <v>63</v>
      </c>
      <c r="B64" s="4" t="s">
        <v>337</v>
      </c>
      <c r="C64" s="4" t="s">
        <v>345</v>
      </c>
      <c r="D64" s="7" t="s">
        <v>28</v>
      </c>
      <c r="E64" s="4" t="s">
        <v>346</v>
      </c>
      <c r="F64" s="4" t="s">
        <v>46</v>
      </c>
      <c r="G64" s="6" t="s">
        <v>47</v>
      </c>
      <c r="H64" s="4" t="s">
        <v>48</v>
      </c>
      <c r="I64" s="4" t="s">
        <v>49</v>
      </c>
      <c r="J64" s="4" t="s">
        <v>347</v>
      </c>
      <c r="K64" s="4" t="s">
        <v>25</v>
      </c>
      <c r="L64" s="4" t="s">
        <v>25</v>
      </c>
      <c r="M64" s="3" t="s">
        <v>26</v>
      </c>
      <c r="N64" s="4"/>
      <c r="O64" s="4"/>
      <c r="P64" s="4"/>
    </row>
    <row r="65" spans="1:16" x14ac:dyDescent="0.35">
      <c r="A65" s="3">
        <v>64</v>
      </c>
      <c r="B65" s="4" t="s">
        <v>337</v>
      </c>
      <c r="C65" s="4" t="s">
        <v>348</v>
      </c>
      <c r="D65" s="7" t="s">
        <v>28</v>
      </c>
      <c r="E65" s="4" t="s">
        <v>349</v>
      </c>
      <c r="F65" s="4"/>
      <c r="G65" s="8"/>
      <c r="H65" s="4" t="s">
        <v>350</v>
      </c>
      <c r="I65" s="4" t="s">
        <v>37</v>
      </c>
      <c r="J65" s="4" t="s">
        <v>351</v>
      </c>
      <c r="K65" s="4" t="s">
        <v>25</v>
      </c>
      <c r="L65" s="4" t="s">
        <v>25</v>
      </c>
      <c r="M65" s="3" t="s">
        <v>26</v>
      </c>
      <c r="N65" s="4"/>
      <c r="O65" s="4"/>
      <c r="P65" s="4"/>
    </row>
    <row r="66" spans="1:16" x14ac:dyDescent="0.35">
      <c r="A66" s="3">
        <v>65</v>
      </c>
      <c r="B66" s="4" t="s">
        <v>337</v>
      </c>
      <c r="C66" s="4" t="s">
        <v>352</v>
      </c>
      <c r="D66" s="7" t="s">
        <v>28</v>
      </c>
      <c r="E66" s="4" t="s">
        <v>353</v>
      </c>
      <c r="F66" s="4" t="s">
        <v>46</v>
      </c>
      <c r="G66" s="6" t="s">
        <v>354</v>
      </c>
      <c r="H66" s="4" t="s">
        <v>165</v>
      </c>
      <c r="I66" s="4" t="s">
        <v>355</v>
      </c>
      <c r="J66" s="4" t="s">
        <v>356</v>
      </c>
      <c r="K66" s="4" t="s">
        <v>25</v>
      </c>
      <c r="L66" s="4" t="s">
        <v>25</v>
      </c>
      <c r="M66" s="3" t="s">
        <v>26</v>
      </c>
      <c r="N66" s="4"/>
      <c r="O66" s="4"/>
      <c r="P66" s="4"/>
    </row>
    <row r="67" spans="1:16" x14ac:dyDescent="0.35">
      <c r="A67" s="3">
        <v>66</v>
      </c>
      <c r="B67" s="4" t="s">
        <v>337</v>
      </c>
      <c r="C67" s="4" t="s">
        <v>357</v>
      </c>
      <c r="D67" s="7" t="s">
        <v>28</v>
      </c>
      <c r="E67" s="4" t="s">
        <v>358</v>
      </c>
      <c r="F67" s="4" t="s">
        <v>46</v>
      </c>
      <c r="G67" s="6" t="s">
        <v>359</v>
      </c>
      <c r="H67" s="4" t="s">
        <v>360</v>
      </c>
      <c r="I67" s="4" t="s">
        <v>361</v>
      </c>
      <c r="J67" s="4" t="s">
        <v>362</v>
      </c>
      <c r="K67" s="4" t="s">
        <v>25</v>
      </c>
      <c r="L67" s="4" t="s">
        <v>25</v>
      </c>
      <c r="M67" s="3" t="s">
        <v>26</v>
      </c>
      <c r="N67" s="4"/>
      <c r="O67" s="4"/>
      <c r="P67" s="4"/>
    </row>
    <row r="68" spans="1:16" x14ac:dyDescent="0.35">
      <c r="A68" s="3">
        <v>67</v>
      </c>
      <c r="B68" s="4" t="s">
        <v>337</v>
      </c>
      <c r="C68" s="4" t="s">
        <v>363</v>
      </c>
      <c r="D68" s="7" t="s">
        <v>28</v>
      </c>
      <c r="E68" s="4" t="s">
        <v>364</v>
      </c>
      <c r="F68" s="4" t="s">
        <v>46</v>
      </c>
      <c r="G68" s="6" t="s">
        <v>147</v>
      </c>
      <c r="H68" s="4" t="s">
        <v>148</v>
      </c>
      <c r="I68" s="4" t="s">
        <v>149</v>
      </c>
      <c r="J68" s="4" t="s">
        <v>365</v>
      </c>
      <c r="K68" s="4" t="s">
        <v>25</v>
      </c>
      <c r="L68" s="4" t="s">
        <v>25</v>
      </c>
      <c r="M68" s="3" t="s">
        <v>26</v>
      </c>
      <c r="N68" s="4"/>
      <c r="O68" s="4"/>
      <c r="P68" s="4"/>
    </row>
    <row r="69" spans="1:16" x14ac:dyDescent="0.35">
      <c r="A69" s="3">
        <v>68</v>
      </c>
      <c r="B69" s="4" t="s">
        <v>337</v>
      </c>
      <c r="C69" s="4" t="s">
        <v>366</v>
      </c>
      <c r="D69" s="9" t="s">
        <v>219</v>
      </c>
      <c r="E69" s="4" t="s">
        <v>367</v>
      </c>
      <c r="F69" s="4" t="s">
        <v>46</v>
      </c>
      <c r="G69" s="6" t="s">
        <v>368</v>
      </c>
      <c r="H69" s="4" t="s">
        <v>369</v>
      </c>
      <c r="I69" s="4" t="s">
        <v>370</v>
      </c>
      <c r="J69" s="4" t="s">
        <v>371</v>
      </c>
      <c r="K69" s="4" t="s">
        <v>25</v>
      </c>
      <c r="L69" s="4" t="s">
        <v>25</v>
      </c>
      <c r="M69" s="3" t="s">
        <v>26</v>
      </c>
      <c r="N69" s="4"/>
      <c r="O69" s="4"/>
      <c r="P69" s="4"/>
    </row>
    <row r="70" spans="1:16" x14ac:dyDescent="0.35">
      <c r="A70" s="3">
        <v>69</v>
      </c>
      <c r="B70" s="4" t="s">
        <v>337</v>
      </c>
      <c r="C70" s="4" t="s">
        <v>372</v>
      </c>
      <c r="D70" s="7" t="s">
        <v>28</v>
      </c>
      <c r="E70" s="4" t="s">
        <v>373</v>
      </c>
      <c r="F70" s="4"/>
      <c r="G70" s="8"/>
      <c r="H70" s="4" t="s">
        <v>374</v>
      </c>
      <c r="I70" s="4" t="s">
        <v>375</v>
      </c>
      <c r="J70" s="4" t="s">
        <v>376</v>
      </c>
      <c r="K70" s="4" t="s">
        <v>25</v>
      </c>
      <c r="L70" s="4" t="s">
        <v>25</v>
      </c>
      <c r="M70" s="3" t="s">
        <v>26</v>
      </c>
      <c r="N70" s="4"/>
      <c r="O70" s="4"/>
      <c r="P70" s="4"/>
    </row>
    <row r="71" spans="1:16" x14ac:dyDescent="0.35">
      <c r="A71" s="3">
        <v>70</v>
      </c>
      <c r="B71" s="4" t="s">
        <v>337</v>
      </c>
      <c r="C71" s="4" t="s">
        <v>377</v>
      </c>
      <c r="D71" s="9" t="s">
        <v>219</v>
      </c>
      <c r="E71" s="4" t="s">
        <v>378</v>
      </c>
      <c r="F71" s="4" t="s">
        <v>46</v>
      </c>
      <c r="G71" s="6" t="s">
        <v>379</v>
      </c>
      <c r="H71" s="4" t="s">
        <v>380</v>
      </c>
      <c r="I71" s="4" t="s">
        <v>381</v>
      </c>
      <c r="J71" s="4" t="s">
        <v>382</v>
      </c>
      <c r="K71" s="4" t="s">
        <v>25</v>
      </c>
      <c r="L71" s="4" t="s">
        <v>25</v>
      </c>
      <c r="M71" s="3" t="s">
        <v>26</v>
      </c>
      <c r="N71" s="4"/>
      <c r="O71" s="4"/>
      <c r="P71" s="4"/>
    </row>
    <row r="72" spans="1:16" x14ac:dyDescent="0.35">
      <c r="A72" s="3">
        <v>71</v>
      </c>
      <c r="B72" s="4" t="s">
        <v>383</v>
      </c>
      <c r="C72" s="4" t="s">
        <v>384</v>
      </c>
      <c r="D72" s="7" t="s">
        <v>28</v>
      </c>
      <c r="E72" s="4" t="s">
        <v>385</v>
      </c>
      <c r="F72" s="4" t="s">
        <v>46</v>
      </c>
      <c r="G72" s="6" t="s">
        <v>386</v>
      </c>
      <c r="H72" s="4" t="s">
        <v>387</v>
      </c>
      <c r="I72" s="4" t="s">
        <v>381</v>
      </c>
      <c r="J72" s="4" t="s">
        <v>388</v>
      </c>
      <c r="K72" s="4" t="s">
        <v>25</v>
      </c>
      <c r="L72" s="4" t="s">
        <v>25</v>
      </c>
      <c r="M72" s="3" t="s">
        <v>26</v>
      </c>
      <c r="N72" s="4"/>
      <c r="O72" s="4"/>
      <c r="P72" s="4"/>
    </row>
    <row r="73" spans="1:16" x14ac:dyDescent="0.35">
      <c r="A73" s="3">
        <v>72</v>
      </c>
      <c r="B73" s="4" t="s">
        <v>383</v>
      </c>
      <c r="C73" s="4" t="s">
        <v>389</v>
      </c>
      <c r="D73" s="7" t="s">
        <v>28</v>
      </c>
      <c r="E73" s="4" t="s">
        <v>390</v>
      </c>
      <c r="F73" s="4" t="s">
        <v>46</v>
      </c>
      <c r="G73" s="6" t="s">
        <v>391</v>
      </c>
      <c r="H73" s="4" t="s">
        <v>392</v>
      </c>
      <c r="I73" s="4" t="s">
        <v>69</v>
      </c>
      <c r="J73" s="4" t="s">
        <v>393</v>
      </c>
      <c r="K73" s="4" t="s">
        <v>25</v>
      </c>
      <c r="L73" s="4" t="s">
        <v>25</v>
      </c>
      <c r="M73" s="3" t="s">
        <v>26</v>
      </c>
      <c r="N73" s="4"/>
      <c r="O73" s="4"/>
      <c r="P73" s="4"/>
    </row>
    <row r="74" spans="1:16" x14ac:dyDescent="0.35">
      <c r="A74" s="3">
        <v>73</v>
      </c>
      <c r="B74" s="4" t="s">
        <v>383</v>
      </c>
      <c r="C74" s="4" t="s">
        <v>394</v>
      </c>
      <c r="D74" s="7" t="s">
        <v>28</v>
      </c>
      <c r="E74" s="4" t="s">
        <v>395</v>
      </c>
      <c r="F74" s="4" t="s">
        <v>46</v>
      </c>
      <c r="G74" s="6" t="s">
        <v>396</v>
      </c>
      <c r="H74" s="4" t="s">
        <v>216</v>
      </c>
      <c r="I74" s="4" t="s">
        <v>69</v>
      </c>
      <c r="J74" s="4" t="s">
        <v>309</v>
      </c>
      <c r="K74" s="4" t="s">
        <v>25</v>
      </c>
      <c r="L74" s="4" t="s">
        <v>25</v>
      </c>
      <c r="M74" s="3" t="s">
        <v>26</v>
      </c>
      <c r="N74" s="4"/>
      <c r="O74" s="4"/>
      <c r="P74" s="4"/>
    </row>
    <row r="75" spans="1:16" x14ac:dyDescent="0.35">
      <c r="A75" s="3">
        <v>74</v>
      </c>
      <c r="B75" s="4" t="s">
        <v>383</v>
      </c>
      <c r="C75" s="4" t="s">
        <v>332</v>
      </c>
      <c r="D75" s="7" t="s">
        <v>28</v>
      </c>
      <c r="E75" s="4" t="s">
        <v>333</v>
      </c>
      <c r="F75" s="4" t="s">
        <v>46</v>
      </c>
      <c r="G75" s="6" t="s">
        <v>334</v>
      </c>
      <c r="H75" s="4" t="s">
        <v>335</v>
      </c>
      <c r="I75" s="4" t="s">
        <v>69</v>
      </c>
      <c r="J75" s="4" t="s">
        <v>336</v>
      </c>
      <c r="K75" s="4" t="s">
        <v>25</v>
      </c>
      <c r="L75" s="4" t="s">
        <v>25</v>
      </c>
      <c r="M75" s="3" t="s">
        <v>26</v>
      </c>
      <c r="N75" s="4"/>
      <c r="O75" s="4"/>
      <c r="P75" s="4"/>
    </row>
    <row r="76" spans="1:16" x14ac:dyDescent="0.35">
      <c r="A76" s="3">
        <v>75</v>
      </c>
      <c r="B76" s="4" t="s">
        <v>383</v>
      </c>
      <c r="C76" s="4" t="s">
        <v>397</v>
      </c>
      <c r="D76" s="7" t="s">
        <v>28</v>
      </c>
      <c r="E76" s="4" t="s">
        <v>398</v>
      </c>
      <c r="F76" s="4" t="s">
        <v>46</v>
      </c>
      <c r="G76" s="6" t="s">
        <v>399</v>
      </c>
      <c r="H76" s="4" t="s">
        <v>400</v>
      </c>
      <c r="I76" s="4" t="s">
        <v>86</v>
      </c>
      <c r="J76" s="4" t="s">
        <v>401</v>
      </c>
      <c r="K76" s="4" t="s">
        <v>25</v>
      </c>
      <c r="L76" s="4" t="s">
        <v>25</v>
      </c>
      <c r="M76" s="3" t="s">
        <v>26</v>
      </c>
      <c r="N76" s="4"/>
      <c r="O76" s="4"/>
      <c r="P76" s="4"/>
    </row>
    <row r="77" spans="1:16" x14ac:dyDescent="0.35">
      <c r="A77" s="3">
        <v>76</v>
      </c>
      <c r="B77" s="4" t="s">
        <v>383</v>
      </c>
      <c r="C77" s="4" t="s">
        <v>402</v>
      </c>
      <c r="D77" s="7" t="s">
        <v>28</v>
      </c>
      <c r="E77" s="4" t="s">
        <v>403</v>
      </c>
      <c r="F77" s="4" t="s">
        <v>46</v>
      </c>
      <c r="G77" s="6" t="s">
        <v>386</v>
      </c>
      <c r="H77" s="4" t="s">
        <v>404</v>
      </c>
      <c r="I77" s="4" t="s">
        <v>405</v>
      </c>
      <c r="J77" s="4" t="s">
        <v>406</v>
      </c>
      <c r="K77" s="4" t="s">
        <v>25</v>
      </c>
      <c r="L77" s="4" t="s">
        <v>25</v>
      </c>
      <c r="M77" s="3" t="s">
        <v>26</v>
      </c>
      <c r="N77" s="4"/>
      <c r="O77" s="4"/>
      <c r="P77" s="4"/>
    </row>
    <row r="78" spans="1:16" x14ac:dyDescent="0.35">
      <c r="A78" s="3">
        <v>77</v>
      </c>
      <c r="B78" s="4" t="s">
        <v>383</v>
      </c>
      <c r="C78" s="4" t="s">
        <v>407</v>
      </c>
      <c r="D78" s="7" t="s">
        <v>28</v>
      </c>
      <c r="E78" s="4" t="s">
        <v>408</v>
      </c>
      <c r="F78" s="4" t="s">
        <v>46</v>
      </c>
      <c r="G78" s="6" t="s">
        <v>409</v>
      </c>
      <c r="H78" s="4" t="s">
        <v>410</v>
      </c>
      <c r="I78" s="4" t="s">
        <v>37</v>
      </c>
      <c r="J78" s="4" t="s">
        <v>411</v>
      </c>
      <c r="K78" s="4" t="s">
        <v>25</v>
      </c>
      <c r="L78" s="4" t="s">
        <v>25</v>
      </c>
      <c r="M78" s="3" t="s">
        <v>26</v>
      </c>
      <c r="N78" s="4"/>
      <c r="O78" s="4"/>
      <c r="P78" s="4"/>
    </row>
    <row r="79" spans="1:16" x14ac:dyDescent="0.35">
      <c r="A79" s="3">
        <v>78</v>
      </c>
      <c r="B79" s="4" t="s">
        <v>383</v>
      </c>
      <c r="C79" s="4" t="s">
        <v>412</v>
      </c>
      <c r="D79" s="7" t="s">
        <v>28</v>
      </c>
      <c r="E79" s="4" t="s">
        <v>413</v>
      </c>
      <c r="F79" s="4" t="s">
        <v>46</v>
      </c>
      <c r="G79" s="6" t="s">
        <v>414</v>
      </c>
      <c r="H79" s="4" t="s">
        <v>415</v>
      </c>
      <c r="I79" s="4" t="s">
        <v>416</v>
      </c>
      <c r="J79" s="4" t="s">
        <v>417</v>
      </c>
      <c r="K79" s="4" t="s">
        <v>25</v>
      </c>
      <c r="L79" s="4" t="s">
        <v>25</v>
      </c>
      <c r="M79" s="3" t="s">
        <v>26</v>
      </c>
      <c r="N79" s="4"/>
      <c r="O79" s="4"/>
      <c r="P79" s="4"/>
    </row>
    <row r="80" spans="1:16" x14ac:dyDescent="0.35">
      <c r="A80" s="3">
        <v>79</v>
      </c>
      <c r="B80" s="4" t="s">
        <v>383</v>
      </c>
      <c r="C80" s="4" t="s">
        <v>418</v>
      </c>
      <c r="D80" s="9" t="s">
        <v>219</v>
      </c>
      <c r="E80" s="4" t="s">
        <v>419</v>
      </c>
      <c r="F80" s="4" t="s">
        <v>46</v>
      </c>
      <c r="G80" s="6" t="s">
        <v>420</v>
      </c>
      <c r="H80" s="4" t="s">
        <v>421</v>
      </c>
      <c r="I80" s="4" t="s">
        <v>422</v>
      </c>
      <c r="J80" s="4" t="s">
        <v>423</v>
      </c>
      <c r="K80" s="4" t="s">
        <v>25</v>
      </c>
      <c r="L80" s="4" t="s">
        <v>25</v>
      </c>
      <c r="M80" s="3" t="s">
        <v>26</v>
      </c>
      <c r="N80" s="4"/>
      <c r="O80" s="4"/>
      <c r="P80" s="4"/>
    </row>
    <row r="81" spans="1:16" x14ac:dyDescent="0.35">
      <c r="A81" s="3">
        <v>80</v>
      </c>
      <c r="B81" s="4" t="s">
        <v>383</v>
      </c>
      <c r="C81" s="4" t="s">
        <v>424</v>
      </c>
      <c r="D81" s="7" t="s">
        <v>28</v>
      </c>
      <c r="E81" s="4" t="s">
        <v>425</v>
      </c>
      <c r="F81" s="4" t="s">
        <v>46</v>
      </c>
      <c r="G81" s="6" t="s">
        <v>426</v>
      </c>
      <c r="H81" s="4" t="s">
        <v>427</v>
      </c>
      <c r="I81" s="4" t="s">
        <v>75</v>
      </c>
      <c r="J81" s="4" t="s">
        <v>428</v>
      </c>
      <c r="K81" s="4" t="s">
        <v>25</v>
      </c>
      <c r="L81" s="4" t="s">
        <v>25</v>
      </c>
      <c r="M81" s="3" t="s">
        <v>26</v>
      </c>
      <c r="N81" s="4"/>
      <c r="O81" s="4"/>
      <c r="P81" s="4"/>
    </row>
    <row r="82" spans="1:16" x14ac:dyDescent="0.35">
      <c r="A82" s="3">
        <v>81</v>
      </c>
      <c r="B82" s="4" t="s">
        <v>429</v>
      </c>
      <c r="C82" s="4" t="s">
        <v>429</v>
      </c>
      <c r="D82" s="5" t="s">
        <v>18</v>
      </c>
      <c r="E82" s="4" t="s">
        <v>430</v>
      </c>
      <c r="F82" s="4" t="s">
        <v>46</v>
      </c>
      <c r="G82" s="6" t="s">
        <v>431</v>
      </c>
      <c r="H82" s="4" t="s">
        <v>432</v>
      </c>
      <c r="I82" s="4" t="s">
        <v>75</v>
      </c>
      <c r="J82" s="4" t="s">
        <v>433</v>
      </c>
      <c r="K82" s="4" t="s">
        <v>434</v>
      </c>
      <c r="L82" s="4" t="s">
        <v>435</v>
      </c>
      <c r="M82" s="3" t="s">
        <v>26</v>
      </c>
      <c r="N82" s="4"/>
      <c r="O82" s="4"/>
      <c r="P82" s="4"/>
    </row>
    <row r="83" spans="1:16" x14ac:dyDescent="0.35">
      <c r="A83" s="3">
        <v>82</v>
      </c>
      <c r="B83" s="4" t="s">
        <v>429</v>
      </c>
      <c r="C83" s="4" t="s">
        <v>436</v>
      </c>
      <c r="D83" s="5" t="s">
        <v>18</v>
      </c>
      <c r="E83" s="4" t="s">
        <v>437</v>
      </c>
      <c r="F83" s="4" t="s">
        <v>46</v>
      </c>
      <c r="G83" s="6" t="s">
        <v>438</v>
      </c>
      <c r="H83" s="4" t="s">
        <v>439</v>
      </c>
      <c r="I83" s="4" t="s">
        <v>440</v>
      </c>
      <c r="J83" s="4" t="s">
        <v>441</v>
      </c>
      <c r="K83" s="4" t="s">
        <v>434</v>
      </c>
      <c r="L83" s="4" t="s">
        <v>435</v>
      </c>
      <c r="M83" s="3" t="s">
        <v>26</v>
      </c>
      <c r="N83" s="4"/>
      <c r="O83" s="4"/>
      <c r="P83" s="4"/>
    </row>
    <row r="84" spans="1:16" x14ac:dyDescent="0.35">
      <c r="A84" s="3">
        <v>83</v>
      </c>
      <c r="B84" s="4" t="s">
        <v>429</v>
      </c>
      <c r="C84" s="4" t="s">
        <v>442</v>
      </c>
      <c r="D84" s="7" t="s">
        <v>28</v>
      </c>
      <c r="E84" s="4" t="s">
        <v>443</v>
      </c>
      <c r="F84" s="4" t="s">
        <v>46</v>
      </c>
      <c r="G84" s="6" t="s">
        <v>444</v>
      </c>
      <c r="H84" s="4" t="s">
        <v>445</v>
      </c>
      <c r="I84" s="4" t="s">
        <v>446</v>
      </c>
      <c r="J84" s="4" t="s">
        <v>447</v>
      </c>
      <c r="K84" s="4" t="s">
        <v>434</v>
      </c>
      <c r="L84" s="4" t="s">
        <v>435</v>
      </c>
      <c r="M84" s="3" t="s">
        <v>26</v>
      </c>
      <c r="N84" s="4"/>
      <c r="O84" s="4"/>
      <c r="P84" s="4"/>
    </row>
    <row r="85" spans="1:16" x14ac:dyDescent="0.35">
      <c r="A85" s="3">
        <v>84</v>
      </c>
      <c r="B85" s="4" t="s">
        <v>429</v>
      </c>
      <c r="C85" s="4" t="s">
        <v>448</v>
      </c>
      <c r="D85" s="7" t="s">
        <v>28</v>
      </c>
      <c r="E85" s="4" t="s">
        <v>449</v>
      </c>
      <c r="F85" s="4"/>
      <c r="G85" s="8"/>
      <c r="H85" s="4" t="s">
        <v>450</v>
      </c>
      <c r="I85" s="4" t="s">
        <v>69</v>
      </c>
      <c r="J85" s="4" t="s">
        <v>451</v>
      </c>
      <c r="K85" s="4" t="s">
        <v>434</v>
      </c>
      <c r="L85" s="4" t="s">
        <v>435</v>
      </c>
      <c r="M85" s="3" t="s">
        <v>26</v>
      </c>
      <c r="N85" s="4"/>
      <c r="O85" s="4"/>
      <c r="P85" s="4"/>
    </row>
    <row r="86" spans="1:16" x14ac:dyDescent="0.35">
      <c r="A86" s="3">
        <v>85</v>
      </c>
      <c r="B86" s="4" t="s">
        <v>429</v>
      </c>
      <c r="C86" s="4" t="s">
        <v>452</v>
      </c>
      <c r="D86" s="7" t="s">
        <v>28</v>
      </c>
      <c r="E86" s="4" t="s">
        <v>453</v>
      </c>
      <c r="F86" s="4"/>
      <c r="G86" s="8"/>
      <c r="H86" s="4" t="s">
        <v>454</v>
      </c>
      <c r="I86" s="4" t="s">
        <v>440</v>
      </c>
      <c r="J86" s="4" t="s">
        <v>455</v>
      </c>
      <c r="K86" s="4" t="s">
        <v>434</v>
      </c>
      <c r="L86" s="4" t="s">
        <v>435</v>
      </c>
      <c r="M86" s="3" t="s">
        <v>26</v>
      </c>
      <c r="N86" s="4"/>
      <c r="O86" s="4"/>
      <c r="P86" s="4"/>
    </row>
    <row r="87" spans="1:16" x14ac:dyDescent="0.35">
      <c r="A87" s="3">
        <v>86</v>
      </c>
      <c r="B87" s="4" t="s">
        <v>429</v>
      </c>
      <c r="C87" s="4" t="s">
        <v>456</v>
      </c>
      <c r="D87" s="7" t="s">
        <v>28</v>
      </c>
      <c r="E87" s="4" t="s">
        <v>457</v>
      </c>
      <c r="F87" s="4"/>
      <c r="G87" s="8"/>
      <c r="H87" s="4" t="s">
        <v>454</v>
      </c>
      <c r="I87" s="4" t="s">
        <v>86</v>
      </c>
      <c r="J87" s="4" t="s">
        <v>458</v>
      </c>
      <c r="K87" s="4" t="s">
        <v>434</v>
      </c>
      <c r="L87" s="4" t="s">
        <v>435</v>
      </c>
      <c r="M87" s="3" t="s">
        <v>26</v>
      </c>
      <c r="N87" s="4"/>
      <c r="O87" s="4"/>
      <c r="P87" s="4"/>
    </row>
    <row r="88" spans="1:16" x14ac:dyDescent="0.35">
      <c r="A88" s="3">
        <v>87</v>
      </c>
      <c r="B88" s="4" t="s">
        <v>429</v>
      </c>
      <c r="C88" s="4" t="s">
        <v>459</v>
      </c>
      <c r="D88" s="7" t="s">
        <v>28</v>
      </c>
      <c r="E88" s="4" t="s">
        <v>460</v>
      </c>
      <c r="F88" s="4" t="s">
        <v>46</v>
      </c>
      <c r="G88" s="6" t="s">
        <v>461</v>
      </c>
      <c r="H88" s="4" t="s">
        <v>462</v>
      </c>
      <c r="I88" s="4" t="s">
        <v>75</v>
      </c>
      <c r="J88" s="4" t="s">
        <v>463</v>
      </c>
      <c r="K88" s="4" t="s">
        <v>434</v>
      </c>
      <c r="L88" s="4" t="s">
        <v>435</v>
      </c>
      <c r="M88" s="3" t="s">
        <v>26</v>
      </c>
      <c r="N88" s="4"/>
      <c r="O88" s="4"/>
      <c r="P88" s="4"/>
    </row>
    <row r="89" spans="1:16" x14ac:dyDescent="0.35">
      <c r="A89" s="3">
        <v>88</v>
      </c>
      <c r="B89" s="4" t="s">
        <v>429</v>
      </c>
      <c r="C89" s="4" t="s">
        <v>464</v>
      </c>
      <c r="D89" s="7" t="s">
        <v>28</v>
      </c>
      <c r="E89" s="4" t="s">
        <v>465</v>
      </c>
      <c r="F89" s="4" t="s">
        <v>46</v>
      </c>
      <c r="G89" s="6" t="s">
        <v>466</v>
      </c>
      <c r="H89" s="4" t="s">
        <v>467</v>
      </c>
      <c r="I89" s="4" t="s">
        <v>468</v>
      </c>
      <c r="J89" s="4" t="s">
        <v>469</v>
      </c>
      <c r="K89" s="4" t="s">
        <v>434</v>
      </c>
      <c r="L89" s="4" t="s">
        <v>435</v>
      </c>
      <c r="M89" s="3" t="s">
        <v>26</v>
      </c>
      <c r="N89" s="4"/>
      <c r="O89" s="4"/>
      <c r="P89" s="4"/>
    </row>
    <row r="90" spans="1:16" x14ac:dyDescent="0.35">
      <c r="A90" s="3">
        <v>89</v>
      </c>
      <c r="B90" s="4" t="s">
        <v>429</v>
      </c>
      <c r="C90" s="4" t="s">
        <v>470</v>
      </c>
      <c r="D90" s="7" t="s">
        <v>28</v>
      </c>
      <c r="E90" s="4" t="s">
        <v>471</v>
      </c>
      <c r="F90" s="4"/>
      <c r="G90" s="8"/>
      <c r="H90" s="4" t="s">
        <v>472</v>
      </c>
      <c r="I90" s="4" t="s">
        <v>86</v>
      </c>
      <c r="J90" s="4" t="s">
        <v>473</v>
      </c>
      <c r="K90" s="4" t="s">
        <v>434</v>
      </c>
      <c r="L90" s="4" t="s">
        <v>435</v>
      </c>
      <c r="M90" s="3" t="s">
        <v>26</v>
      </c>
      <c r="N90" s="4"/>
      <c r="O90" s="4"/>
      <c r="P90" s="4"/>
    </row>
    <row r="91" spans="1:16" x14ac:dyDescent="0.35">
      <c r="A91" s="3">
        <v>90</v>
      </c>
      <c r="B91" s="4" t="s">
        <v>429</v>
      </c>
      <c r="C91" s="4" t="s">
        <v>474</v>
      </c>
      <c r="D91" s="7" t="s">
        <v>28</v>
      </c>
      <c r="E91" s="4" t="s">
        <v>475</v>
      </c>
      <c r="F91" s="4" t="s">
        <v>46</v>
      </c>
      <c r="G91" s="6" t="s">
        <v>476</v>
      </c>
      <c r="H91" s="4" t="s">
        <v>477</v>
      </c>
      <c r="I91" s="4" t="s">
        <v>103</v>
      </c>
      <c r="J91" s="4" t="s">
        <v>478</v>
      </c>
      <c r="K91" s="4" t="s">
        <v>434</v>
      </c>
      <c r="L91" s="4" t="s">
        <v>435</v>
      </c>
      <c r="M91" s="3" t="s">
        <v>26</v>
      </c>
      <c r="N91" s="4"/>
      <c r="O91" s="4"/>
      <c r="P91" s="4"/>
    </row>
    <row r="92" spans="1:16" x14ac:dyDescent="0.35">
      <c r="A92" s="3">
        <v>91</v>
      </c>
      <c r="B92" s="4" t="s">
        <v>429</v>
      </c>
      <c r="C92" s="4" t="s">
        <v>479</v>
      </c>
      <c r="D92" s="7" t="s">
        <v>28</v>
      </c>
      <c r="E92" s="4" t="s">
        <v>480</v>
      </c>
      <c r="F92" s="4" t="s">
        <v>46</v>
      </c>
      <c r="G92" s="6" t="s">
        <v>481</v>
      </c>
      <c r="H92" s="4" t="s">
        <v>482</v>
      </c>
      <c r="I92" s="4" t="s">
        <v>75</v>
      </c>
      <c r="J92" s="4" t="s">
        <v>483</v>
      </c>
      <c r="K92" s="4" t="s">
        <v>434</v>
      </c>
      <c r="L92" s="4" t="s">
        <v>435</v>
      </c>
      <c r="M92" s="3" t="s">
        <v>26</v>
      </c>
      <c r="N92" s="4"/>
      <c r="O92" s="4"/>
      <c r="P92" s="4"/>
    </row>
    <row r="93" spans="1:16" x14ac:dyDescent="0.35">
      <c r="A93" s="3">
        <v>92</v>
      </c>
      <c r="B93" s="4" t="s">
        <v>429</v>
      </c>
      <c r="C93" s="4" t="s">
        <v>484</v>
      </c>
      <c r="D93" s="7" t="s">
        <v>28</v>
      </c>
      <c r="E93" s="4" t="s">
        <v>485</v>
      </c>
      <c r="F93" s="4"/>
      <c r="G93" s="8"/>
      <c r="H93" s="4" t="s">
        <v>486</v>
      </c>
      <c r="I93" s="4" t="s">
        <v>381</v>
      </c>
      <c r="J93" s="4" t="s">
        <v>487</v>
      </c>
      <c r="K93" s="4" t="s">
        <v>434</v>
      </c>
      <c r="L93" s="4" t="s">
        <v>435</v>
      </c>
      <c r="M93" s="3" t="s">
        <v>26</v>
      </c>
      <c r="N93" s="4"/>
      <c r="O93" s="4"/>
      <c r="P93" s="4"/>
    </row>
    <row r="94" spans="1:16" x14ac:dyDescent="0.35">
      <c r="A94" s="3">
        <v>93</v>
      </c>
      <c r="B94" s="4" t="s">
        <v>429</v>
      </c>
      <c r="C94" s="4" t="s">
        <v>488</v>
      </c>
      <c r="D94" s="7" t="s">
        <v>28</v>
      </c>
      <c r="E94" s="4" t="s">
        <v>489</v>
      </c>
      <c r="F94" s="4" t="s">
        <v>46</v>
      </c>
      <c r="G94" s="6" t="s">
        <v>490</v>
      </c>
      <c r="H94" s="4" t="s">
        <v>491</v>
      </c>
      <c r="I94" s="4" t="s">
        <v>75</v>
      </c>
      <c r="J94" s="4" t="s">
        <v>492</v>
      </c>
      <c r="K94" s="4" t="s">
        <v>434</v>
      </c>
      <c r="L94" s="4" t="s">
        <v>435</v>
      </c>
      <c r="M94" s="3" t="s">
        <v>26</v>
      </c>
      <c r="N94" s="4"/>
      <c r="O94" s="4"/>
      <c r="P94" s="4"/>
    </row>
    <row r="95" spans="1:16" x14ac:dyDescent="0.35">
      <c r="A95" s="3">
        <v>94</v>
      </c>
      <c r="B95" s="4" t="s">
        <v>429</v>
      </c>
      <c r="C95" s="4" t="s">
        <v>493</v>
      </c>
      <c r="D95" s="7" t="s">
        <v>28</v>
      </c>
      <c r="E95" s="4" t="s">
        <v>494</v>
      </c>
      <c r="F95" s="4" t="s">
        <v>46</v>
      </c>
      <c r="G95" s="6" t="s">
        <v>495</v>
      </c>
      <c r="H95" s="4" t="s">
        <v>496</v>
      </c>
      <c r="I95" s="4" t="s">
        <v>497</v>
      </c>
      <c r="J95" s="4" t="s">
        <v>498</v>
      </c>
      <c r="K95" s="4" t="s">
        <v>434</v>
      </c>
      <c r="L95" s="4" t="s">
        <v>435</v>
      </c>
      <c r="M95" s="3" t="s">
        <v>26</v>
      </c>
      <c r="N95" s="4"/>
      <c r="O95" s="4"/>
      <c r="P95" s="4"/>
    </row>
    <row r="96" spans="1:16" x14ac:dyDescent="0.35">
      <c r="A96" s="3">
        <v>95</v>
      </c>
      <c r="B96" s="4" t="s">
        <v>429</v>
      </c>
      <c r="C96" s="4" t="s">
        <v>499</v>
      </c>
      <c r="D96" s="9" t="s">
        <v>219</v>
      </c>
      <c r="E96" s="4" t="s">
        <v>500</v>
      </c>
      <c r="F96" s="4" t="s">
        <v>46</v>
      </c>
      <c r="G96" s="6" t="s">
        <v>501</v>
      </c>
      <c r="H96" s="4" t="s">
        <v>502</v>
      </c>
      <c r="I96" s="4" t="s">
        <v>503</v>
      </c>
      <c r="J96" s="4" t="s">
        <v>504</v>
      </c>
      <c r="K96" s="4" t="s">
        <v>434</v>
      </c>
      <c r="L96" s="4" t="s">
        <v>435</v>
      </c>
      <c r="M96" s="3" t="s">
        <v>26</v>
      </c>
      <c r="N96" s="4"/>
      <c r="O96" s="4"/>
      <c r="P96" s="4"/>
    </row>
    <row r="97" spans="1:16" x14ac:dyDescent="0.35">
      <c r="A97" s="3">
        <v>96</v>
      </c>
      <c r="B97" s="4" t="s">
        <v>505</v>
      </c>
      <c r="C97" s="4" t="s">
        <v>506</v>
      </c>
      <c r="D97" s="5" t="s">
        <v>18</v>
      </c>
      <c r="E97" s="4" t="s">
        <v>507</v>
      </c>
      <c r="F97" s="4"/>
      <c r="G97" s="8"/>
      <c r="H97" s="4" t="s">
        <v>42</v>
      </c>
      <c r="I97" s="4" t="s">
        <v>508</v>
      </c>
      <c r="J97" s="4" t="s">
        <v>509</v>
      </c>
      <c r="K97" s="4" t="s">
        <v>25</v>
      </c>
      <c r="L97" s="4" t="s">
        <v>435</v>
      </c>
      <c r="M97" s="3" t="s">
        <v>26</v>
      </c>
      <c r="N97" s="4"/>
      <c r="O97" s="4"/>
      <c r="P97" s="4"/>
    </row>
    <row r="98" spans="1:16" x14ac:dyDescent="0.35">
      <c r="A98" s="3">
        <v>97</v>
      </c>
      <c r="B98" s="4" t="s">
        <v>505</v>
      </c>
      <c r="C98" s="4" t="s">
        <v>510</v>
      </c>
      <c r="D98" s="5" t="s">
        <v>18</v>
      </c>
      <c r="E98" s="4" t="s">
        <v>511</v>
      </c>
      <c r="F98" s="4"/>
      <c r="G98" s="8"/>
      <c r="H98" s="4" t="s">
        <v>508</v>
      </c>
      <c r="I98" s="4" t="s">
        <v>512</v>
      </c>
      <c r="J98" s="4" t="s">
        <v>513</v>
      </c>
      <c r="K98" s="4" t="s">
        <v>25</v>
      </c>
      <c r="L98" s="4" t="s">
        <v>435</v>
      </c>
      <c r="M98" s="3" t="s">
        <v>26</v>
      </c>
      <c r="N98" s="4"/>
      <c r="O98" s="4"/>
      <c r="P98" s="4"/>
    </row>
    <row r="99" spans="1:16" x14ac:dyDescent="0.35">
      <c r="A99" s="3">
        <v>98</v>
      </c>
      <c r="B99" s="4" t="s">
        <v>505</v>
      </c>
      <c r="C99" s="4" t="s">
        <v>514</v>
      </c>
      <c r="D99" s="5" t="s">
        <v>18</v>
      </c>
      <c r="E99" s="4" t="s">
        <v>515</v>
      </c>
      <c r="F99" s="4"/>
      <c r="G99" s="8"/>
      <c r="H99" s="4" t="s">
        <v>508</v>
      </c>
      <c r="I99" s="4" t="s">
        <v>516</v>
      </c>
      <c r="J99" s="4" t="s">
        <v>517</v>
      </c>
      <c r="K99" s="4" t="s">
        <v>25</v>
      </c>
      <c r="L99" s="4" t="s">
        <v>435</v>
      </c>
      <c r="M99" s="3" t="s">
        <v>26</v>
      </c>
      <c r="N99" s="4"/>
      <c r="O99" s="4"/>
      <c r="P99" s="4"/>
    </row>
    <row r="100" spans="1:16" x14ac:dyDescent="0.35">
      <c r="A100" s="3">
        <v>99</v>
      </c>
      <c r="B100" s="4" t="s">
        <v>505</v>
      </c>
      <c r="C100" s="4" t="s">
        <v>518</v>
      </c>
      <c r="D100" s="5" t="s">
        <v>18</v>
      </c>
      <c r="E100" s="4" t="s">
        <v>519</v>
      </c>
      <c r="F100" s="4"/>
      <c r="G100" s="8"/>
      <c r="H100" s="4" t="s">
        <v>520</v>
      </c>
      <c r="I100" s="4" t="s">
        <v>521</v>
      </c>
      <c r="J100" s="4" t="s">
        <v>522</v>
      </c>
      <c r="K100" s="4" t="s">
        <v>25</v>
      </c>
      <c r="L100" s="4" t="s">
        <v>435</v>
      </c>
      <c r="M100" s="3" t="s">
        <v>26</v>
      </c>
      <c r="N100" s="4"/>
      <c r="O100" s="4"/>
      <c r="P100" s="4"/>
    </row>
    <row r="101" spans="1:16" x14ac:dyDescent="0.35">
      <c r="A101" s="3">
        <v>100</v>
      </c>
      <c r="B101" s="4" t="s">
        <v>505</v>
      </c>
      <c r="C101" s="4" t="s">
        <v>523</v>
      </c>
      <c r="D101" s="5" t="s">
        <v>18</v>
      </c>
      <c r="E101" s="4" t="s">
        <v>524</v>
      </c>
      <c r="F101" s="4"/>
      <c r="G101" s="8"/>
      <c r="H101" s="4" t="s">
        <v>525</v>
      </c>
      <c r="I101" s="4" t="s">
        <v>37</v>
      </c>
      <c r="J101" s="4" t="s">
        <v>526</v>
      </c>
      <c r="K101" s="4" t="s">
        <v>25</v>
      </c>
      <c r="L101" s="4" t="s">
        <v>435</v>
      </c>
      <c r="M101" s="3" t="s">
        <v>26</v>
      </c>
      <c r="N101" s="4"/>
      <c r="O101" s="4"/>
      <c r="P101" s="4"/>
    </row>
    <row r="102" spans="1:16" x14ac:dyDescent="0.35">
      <c r="A102" s="3">
        <v>101</v>
      </c>
      <c r="B102" s="4" t="s">
        <v>505</v>
      </c>
      <c r="C102" s="4" t="s">
        <v>527</v>
      </c>
      <c r="D102" s="7" t="s">
        <v>28</v>
      </c>
      <c r="E102" s="4" t="s">
        <v>528</v>
      </c>
      <c r="F102" s="4" t="s">
        <v>46</v>
      </c>
      <c r="G102" s="6" t="s">
        <v>529</v>
      </c>
      <c r="H102" s="4" t="s">
        <v>508</v>
      </c>
      <c r="I102" s="4" t="s">
        <v>530</v>
      </c>
      <c r="J102" s="4" t="s">
        <v>531</v>
      </c>
      <c r="K102" s="4" t="s">
        <v>25</v>
      </c>
      <c r="L102" s="4" t="s">
        <v>435</v>
      </c>
      <c r="M102" s="3" t="s">
        <v>26</v>
      </c>
      <c r="N102" s="4"/>
      <c r="O102" s="4"/>
      <c r="P102" s="4"/>
    </row>
    <row r="103" spans="1:16" x14ac:dyDescent="0.35">
      <c r="A103" s="3">
        <v>102</v>
      </c>
      <c r="B103" s="4" t="s">
        <v>505</v>
      </c>
      <c r="C103" s="4" t="s">
        <v>532</v>
      </c>
      <c r="D103" s="7" t="s">
        <v>28</v>
      </c>
      <c r="E103" s="4" t="s">
        <v>533</v>
      </c>
      <c r="F103" s="4" t="s">
        <v>46</v>
      </c>
      <c r="G103" s="6" t="s">
        <v>534</v>
      </c>
      <c r="H103" s="4" t="s">
        <v>535</v>
      </c>
      <c r="I103" s="4" t="s">
        <v>69</v>
      </c>
      <c r="J103" s="4" t="s">
        <v>344</v>
      </c>
      <c r="K103" s="4" t="s">
        <v>25</v>
      </c>
      <c r="L103" s="4" t="s">
        <v>435</v>
      </c>
      <c r="M103" s="3" t="s">
        <v>26</v>
      </c>
      <c r="N103" s="4"/>
      <c r="O103" s="4"/>
      <c r="P103" s="4"/>
    </row>
    <row r="104" spans="1:16" x14ac:dyDescent="0.35">
      <c r="A104" s="3">
        <v>103</v>
      </c>
      <c r="B104" s="4" t="s">
        <v>505</v>
      </c>
      <c r="C104" s="4" t="s">
        <v>536</v>
      </c>
      <c r="D104" s="7" t="s">
        <v>28</v>
      </c>
      <c r="E104" s="4" t="s">
        <v>537</v>
      </c>
      <c r="F104" s="4" t="s">
        <v>46</v>
      </c>
      <c r="G104" s="6" t="s">
        <v>538</v>
      </c>
      <c r="H104" s="4" t="s">
        <v>539</v>
      </c>
      <c r="I104" s="4" t="s">
        <v>37</v>
      </c>
      <c r="J104" s="4" t="s">
        <v>540</v>
      </c>
      <c r="K104" s="4" t="s">
        <v>25</v>
      </c>
      <c r="L104" s="4" t="s">
        <v>435</v>
      </c>
      <c r="M104" s="3" t="s">
        <v>26</v>
      </c>
      <c r="N104" s="4"/>
      <c r="O104" s="4"/>
      <c r="P104" s="4"/>
    </row>
    <row r="105" spans="1:16" x14ac:dyDescent="0.35">
      <c r="A105" s="3">
        <v>104</v>
      </c>
      <c r="B105" s="4" t="s">
        <v>505</v>
      </c>
      <c r="C105" s="4" t="s">
        <v>541</v>
      </c>
      <c r="D105" s="7" t="s">
        <v>28</v>
      </c>
      <c r="E105" s="4" t="s">
        <v>542</v>
      </c>
      <c r="F105" s="4" t="s">
        <v>46</v>
      </c>
      <c r="G105" s="6" t="s">
        <v>543</v>
      </c>
      <c r="H105" s="4" t="s">
        <v>539</v>
      </c>
      <c r="I105" s="4" t="s">
        <v>544</v>
      </c>
      <c r="J105" s="4" t="s">
        <v>545</v>
      </c>
      <c r="K105" s="4" t="s">
        <v>25</v>
      </c>
      <c r="L105" s="4" t="s">
        <v>435</v>
      </c>
      <c r="M105" s="3" t="s">
        <v>26</v>
      </c>
      <c r="N105" s="4"/>
      <c r="O105" s="4"/>
      <c r="P105" s="4"/>
    </row>
    <row r="106" spans="1:16" x14ac:dyDescent="0.35">
      <c r="A106" s="3">
        <v>105</v>
      </c>
      <c r="B106" s="4" t="s">
        <v>505</v>
      </c>
      <c r="C106" s="4" t="s">
        <v>546</v>
      </c>
      <c r="D106" s="7" t="s">
        <v>28</v>
      </c>
      <c r="E106" s="4" t="s">
        <v>547</v>
      </c>
      <c r="F106" s="4" t="s">
        <v>46</v>
      </c>
      <c r="G106" s="6" t="s">
        <v>548</v>
      </c>
      <c r="H106" s="4" t="s">
        <v>549</v>
      </c>
      <c r="I106" s="4" t="s">
        <v>550</v>
      </c>
      <c r="J106" s="4" t="s">
        <v>551</v>
      </c>
      <c r="K106" s="4" t="s">
        <v>25</v>
      </c>
      <c r="L106" s="4" t="s">
        <v>435</v>
      </c>
      <c r="M106" s="3" t="s">
        <v>26</v>
      </c>
      <c r="N106" s="4"/>
      <c r="O106" s="4"/>
      <c r="P106" s="4"/>
    </row>
    <row r="107" spans="1:16" x14ac:dyDescent="0.35">
      <c r="A107" s="3">
        <v>106</v>
      </c>
      <c r="B107" s="4" t="s">
        <v>505</v>
      </c>
      <c r="C107" s="4" t="s">
        <v>552</v>
      </c>
      <c r="D107" s="7" t="s">
        <v>28</v>
      </c>
      <c r="E107" s="4" t="s">
        <v>553</v>
      </c>
      <c r="F107" s="4" t="s">
        <v>46</v>
      </c>
      <c r="G107" s="6" t="s">
        <v>554</v>
      </c>
      <c r="H107" s="4" t="s">
        <v>555</v>
      </c>
      <c r="I107" s="4" t="s">
        <v>556</v>
      </c>
      <c r="J107" s="4" t="s">
        <v>557</v>
      </c>
      <c r="K107" s="4" t="s">
        <v>25</v>
      </c>
      <c r="L107" s="4" t="s">
        <v>435</v>
      </c>
      <c r="M107" s="3" t="s">
        <v>26</v>
      </c>
      <c r="N107" s="4"/>
      <c r="O107" s="4"/>
      <c r="P107" s="4"/>
    </row>
    <row r="108" spans="1:16" x14ac:dyDescent="0.35">
      <c r="A108" s="3">
        <v>107</v>
      </c>
      <c r="B108" s="4" t="s">
        <v>505</v>
      </c>
      <c r="C108" s="4" t="s">
        <v>558</v>
      </c>
      <c r="D108" s="7" t="s">
        <v>28</v>
      </c>
      <c r="E108" s="4" t="s">
        <v>559</v>
      </c>
      <c r="F108" s="4" t="s">
        <v>46</v>
      </c>
      <c r="G108" s="6" t="s">
        <v>560</v>
      </c>
      <c r="H108" s="4" t="s">
        <v>561</v>
      </c>
      <c r="I108" s="4" t="s">
        <v>37</v>
      </c>
      <c r="J108" s="4" t="s">
        <v>562</v>
      </c>
      <c r="K108" s="4" t="s">
        <v>25</v>
      </c>
      <c r="L108" s="4" t="s">
        <v>435</v>
      </c>
      <c r="M108" s="3" t="s">
        <v>26</v>
      </c>
      <c r="N108" s="4"/>
      <c r="O108" s="4"/>
      <c r="P108" s="4"/>
    </row>
    <row r="109" spans="1:16" x14ac:dyDescent="0.35">
      <c r="A109" s="3">
        <v>108</v>
      </c>
      <c r="B109" s="4" t="s">
        <v>505</v>
      </c>
      <c r="C109" s="4" t="s">
        <v>563</v>
      </c>
      <c r="D109" s="7" t="s">
        <v>28</v>
      </c>
      <c r="E109" s="4" t="s">
        <v>564</v>
      </c>
      <c r="F109" s="4" t="s">
        <v>46</v>
      </c>
      <c r="G109" s="6" t="s">
        <v>565</v>
      </c>
      <c r="H109" s="4" t="s">
        <v>566</v>
      </c>
      <c r="I109" s="4" t="s">
        <v>567</v>
      </c>
      <c r="J109" s="4" t="s">
        <v>568</v>
      </c>
      <c r="K109" s="4" t="s">
        <v>25</v>
      </c>
      <c r="L109" s="4" t="s">
        <v>435</v>
      </c>
      <c r="M109" s="3" t="s">
        <v>26</v>
      </c>
      <c r="N109" s="4"/>
      <c r="O109" s="4"/>
      <c r="P109" s="4"/>
    </row>
    <row r="110" spans="1:16" x14ac:dyDescent="0.35">
      <c r="A110" s="3">
        <v>109</v>
      </c>
      <c r="B110" s="4" t="s">
        <v>505</v>
      </c>
      <c r="C110" s="4" t="s">
        <v>569</v>
      </c>
      <c r="D110" s="7" t="s">
        <v>28</v>
      </c>
      <c r="E110" s="4" t="s">
        <v>570</v>
      </c>
      <c r="F110" s="4"/>
      <c r="G110" s="8"/>
      <c r="H110" s="4" t="s">
        <v>571</v>
      </c>
      <c r="I110" s="4" t="s">
        <v>516</v>
      </c>
      <c r="J110" s="4" t="s">
        <v>572</v>
      </c>
      <c r="K110" s="4" t="s">
        <v>25</v>
      </c>
      <c r="L110" s="4" t="s">
        <v>435</v>
      </c>
      <c r="M110" s="3" t="s">
        <v>26</v>
      </c>
      <c r="N110" s="4"/>
      <c r="O110" s="4"/>
      <c r="P110" s="4"/>
    </row>
    <row r="111" spans="1:16" x14ac:dyDescent="0.35">
      <c r="A111" s="3">
        <v>110</v>
      </c>
      <c r="B111" s="4" t="s">
        <v>505</v>
      </c>
      <c r="C111" s="4" t="s">
        <v>573</v>
      </c>
      <c r="D111" s="7" t="s">
        <v>28</v>
      </c>
      <c r="E111" s="4" t="s">
        <v>574</v>
      </c>
      <c r="F111" s="4" t="s">
        <v>46</v>
      </c>
      <c r="G111" s="6" t="s">
        <v>575</v>
      </c>
      <c r="H111" s="4" t="s">
        <v>576</v>
      </c>
      <c r="I111" s="4" t="s">
        <v>577</v>
      </c>
      <c r="J111" s="4" t="s">
        <v>578</v>
      </c>
      <c r="K111" s="4" t="s">
        <v>25</v>
      </c>
      <c r="L111" s="4" t="s">
        <v>435</v>
      </c>
      <c r="M111" s="3" t="s">
        <v>26</v>
      </c>
      <c r="N111" s="4"/>
      <c r="O111" s="4"/>
      <c r="P111" s="4"/>
    </row>
    <row r="112" spans="1:16" x14ac:dyDescent="0.35">
      <c r="A112" s="3">
        <v>111</v>
      </c>
      <c r="B112" s="4" t="s">
        <v>579</v>
      </c>
      <c r="C112" s="4" t="s">
        <v>580</v>
      </c>
      <c r="D112" s="5" t="s">
        <v>18</v>
      </c>
      <c r="E112" s="4" t="s">
        <v>581</v>
      </c>
      <c r="F112" s="4"/>
      <c r="G112" s="8"/>
      <c r="H112" s="4" t="s">
        <v>42</v>
      </c>
      <c r="I112" s="4" t="s">
        <v>582</v>
      </c>
      <c r="J112" s="4" t="s">
        <v>583</v>
      </c>
      <c r="K112" s="4" t="s">
        <v>25</v>
      </c>
      <c r="L112" s="4" t="s">
        <v>25</v>
      </c>
      <c r="M112" s="3" t="s">
        <v>26</v>
      </c>
      <c r="N112" s="4"/>
      <c r="O112" s="4"/>
      <c r="P112" s="4"/>
    </row>
    <row r="113" spans="1:16" x14ac:dyDescent="0.35">
      <c r="A113" s="3">
        <v>112</v>
      </c>
      <c r="B113" s="4" t="s">
        <v>579</v>
      </c>
      <c r="C113" s="4" t="s">
        <v>584</v>
      </c>
      <c r="D113" s="5" t="s">
        <v>18</v>
      </c>
      <c r="E113" s="4" t="s">
        <v>585</v>
      </c>
      <c r="F113" s="4"/>
      <c r="G113" s="8"/>
      <c r="H113" s="4" t="s">
        <v>42</v>
      </c>
      <c r="I113" s="4" t="s">
        <v>586</v>
      </c>
      <c r="J113" s="4" t="s">
        <v>587</v>
      </c>
      <c r="K113" s="4" t="s">
        <v>25</v>
      </c>
      <c r="L113" s="4" t="s">
        <v>25</v>
      </c>
      <c r="M113" s="3" t="s">
        <v>26</v>
      </c>
      <c r="N113" s="4"/>
      <c r="O113" s="4"/>
      <c r="P113" s="4"/>
    </row>
    <row r="114" spans="1:16" x14ac:dyDescent="0.35">
      <c r="A114" s="3">
        <v>113</v>
      </c>
      <c r="B114" s="4" t="s">
        <v>579</v>
      </c>
      <c r="C114" s="4" t="s">
        <v>588</v>
      </c>
      <c r="D114" s="7" t="s">
        <v>28</v>
      </c>
      <c r="E114" s="4" t="s">
        <v>589</v>
      </c>
      <c r="F114" s="4"/>
      <c r="G114" s="8"/>
      <c r="H114" s="4" t="s">
        <v>42</v>
      </c>
      <c r="I114" s="4" t="s">
        <v>582</v>
      </c>
      <c r="J114" s="4" t="s">
        <v>590</v>
      </c>
      <c r="K114" s="4" t="s">
        <v>25</v>
      </c>
      <c r="L114" s="4" t="s">
        <v>25</v>
      </c>
      <c r="M114" s="3" t="s">
        <v>26</v>
      </c>
      <c r="N114" s="4"/>
      <c r="O114" s="4"/>
      <c r="P114" s="4"/>
    </row>
    <row r="115" spans="1:16" x14ac:dyDescent="0.35">
      <c r="A115" s="3">
        <v>114</v>
      </c>
      <c r="B115" s="4" t="s">
        <v>579</v>
      </c>
      <c r="C115" s="4" t="s">
        <v>591</v>
      </c>
      <c r="D115" s="7" t="s">
        <v>28</v>
      </c>
      <c r="E115" s="4" t="s">
        <v>592</v>
      </c>
      <c r="F115" s="4"/>
      <c r="G115" s="8"/>
      <c r="H115" s="4" t="s">
        <v>42</v>
      </c>
      <c r="I115" s="4" t="s">
        <v>586</v>
      </c>
      <c r="J115" s="4" t="s">
        <v>593</v>
      </c>
      <c r="K115" s="4" t="s">
        <v>25</v>
      </c>
      <c r="L115" s="4" t="s">
        <v>25</v>
      </c>
      <c r="M115" s="3" t="s">
        <v>26</v>
      </c>
      <c r="N115" s="4"/>
      <c r="O115" s="4"/>
      <c r="P115" s="4"/>
    </row>
    <row r="116" spans="1:16" x14ac:dyDescent="0.35">
      <c r="A116" s="3">
        <v>115</v>
      </c>
      <c r="B116" s="4" t="s">
        <v>579</v>
      </c>
      <c r="C116" s="4" t="s">
        <v>594</v>
      </c>
      <c r="D116" s="7" t="s">
        <v>28</v>
      </c>
      <c r="E116" s="4" t="s">
        <v>595</v>
      </c>
      <c r="F116" s="4"/>
      <c r="G116" s="8"/>
      <c r="H116" s="4" t="s">
        <v>596</v>
      </c>
      <c r="I116" s="4" t="s">
        <v>597</v>
      </c>
      <c r="J116" s="4" t="s">
        <v>598</v>
      </c>
      <c r="K116" s="4" t="s">
        <v>25</v>
      </c>
      <c r="L116" s="4" t="s">
        <v>25</v>
      </c>
      <c r="M116" s="3" t="s">
        <v>26</v>
      </c>
      <c r="N116" s="4"/>
      <c r="O116" s="4"/>
      <c r="P116" s="4"/>
    </row>
    <row r="117" spans="1:16" x14ac:dyDescent="0.35">
      <c r="A117" s="3">
        <v>116</v>
      </c>
      <c r="B117" s="4" t="s">
        <v>579</v>
      </c>
      <c r="C117" s="4" t="s">
        <v>599</v>
      </c>
      <c r="D117" s="7" t="s">
        <v>28</v>
      </c>
      <c r="E117" s="4" t="s">
        <v>600</v>
      </c>
      <c r="F117" s="4"/>
      <c r="G117" s="8"/>
      <c r="H117" s="4" t="s">
        <v>601</v>
      </c>
      <c r="I117" s="4" t="s">
        <v>602</v>
      </c>
      <c r="J117" s="4" t="s">
        <v>603</v>
      </c>
      <c r="K117" s="4" t="s">
        <v>25</v>
      </c>
      <c r="L117" s="4" t="s">
        <v>25</v>
      </c>
      <c r="M117" s="3" t="s">
        <v>26</v>
      </c>
      <c r="N117" s="4"/>
      <c r="O117" s="4"/>
      <c r="P117" s="4"/>
    </row>
    <row r="118" spans="1:16" x14ac:dyDescent="0.35">
      <c r="A118" s="3">
        <v>117</v>
      </c>
      <c r="B118" s="4" t="s">
        <v>579</v>
      </c>
      <c r="C118" s="4" t="s">
        <v>604</v>
      </c>
      <c r="D118" s="7" t="s">
        <v>28</v>
      </c>
      <c r="E118" s="4" t="s">
        <v>605</v>
      </c>
      <c r="F118" s="4" t="s">
        <v>46</v>
      </c>
      <c r="G118" s="6" t="s">
        <v>606</v>
      </c>
      <c r="H118" s="4" t="s">
        <v>607</v>
      </c>
      <c r="I118" s="4" t="s">
        <v>37</v>
      </c>
      <c r="J118" s="4" t="s">
        <v>608</v>
      </c>
      <c r="K118" s="4" t="s">
        <v>25</v>
      </c>
      <c r="L118" s="4" t="s">
        <v>25</v>
      </c>
      <c r="M118" s="3" t="s">
        <v>26</v>
      </c>
      <c r="N118" s="4"/>
      <c r="O118" s="4"/>
      <c r="P118" s="4"/>
    </row>
    <row r="119" spans="1:16" x14ac:dyDescent="0.35">
      <c r="A119" s="3">
        <v>118</v>
      </c>
      <c r="B119" s="4" t="s">
        <v>579</v>
      </c>
      <c r="C119" s="4" t="s">
        <v>609</v>
      </c>
      <c r="D119" s="7" t="s">
        <v>28</v>
      </c>
      <c r="E119" s="4" t="s">
        <v>610</v>
      </c>
      <c r="F119" s="4" t="s">
        <v>46</v>
      </c>
      <c r="G119" s="6" t="s">
        <v>611</v>
      </c>
      <c r="H119" s="4" t="s">
        <v>612</v>
      </c>
      <c r="I119" s="4" t="s">
        <v>69</v>
      </c>
      <c r="J119" s="4" t="s">
        <v>613</v>
      </c>
      <c r="K119" s="4" t="s">
        <v>25</v>
      </c>
      <c r="L119" s="4" t="s">
        <v>25</v>
      </c>
      <c r="M119" s="3" t="s">
        <v>26</v>
      </c>
      <c r="N119" s="4"/>
      <c r="O119" s="4"/>
      <c r="P119" s="4"/>
    </row>
    <row r="120" spans="1:16" x14ac:dyDescent="0.35">
      <c r="A120" s="3">
        <v>119</v>
      </c>
      <c r="B120" s="4" t="s">
        <v>579</v>
      </c>
      <c r="C120" s="4" t="s">
        <v>614</v>
      </c>
      <c r="D120" s="7" t="s">
        <v>28</v>
      </c>
      <c r="E120" s="4" t="s">
        <v>615</v>
      </c>
      <c r="F120" s="4" t="s">
        <v>46</v>
      </c>
      <c r="G120" s="6" t="s">
        <v>616</v>
      </c>
      <c r="H120" s="4" t="s">
        <v>617</v>
      </c>
      <c r="I120" s="4" t="s">
        <v>618</v>
      </c>
      <c r="J120" s="4" t="s">
        <v>619</v>
      </c>
      <c r="K120" s="4" t="s">
        <v>25</v>
      </c>
      <c r="L120" s="4" t="s">
        <v>25</v>
      </c>
      <c r="M120" s="3" t="s">
        <v>26</v>
      </c>
      <c r="N120" s="4"/>
      <c r="O120" s="4"/>
      <c r="P120" s="4"/>
    </row>
    <row r="121" spans="1:16" x14ac:dyDescent="0.35">
      <c r="A121" s="3">
        <v>120</v>
      </c>
      <c r="B121" s="4" t="s">
        <v>579</v>
      </c>
      <c r="C121" s="4" t="s">
        <v>620</v>
      </c>
      <c r="D121" s="7" t="s">
        <v>28</v>
      </c>
      <c r="E121" s="4" t="s">
        <v>621</v>
      </c>
      <c r="F121" s="4"/>
      <c r="G121" s="8"/>
      <c r="H121" s="4" t="s">
        <v>617</v>
      </c>
      <c r="I121" s="4" t="s">
        <v>622</v>
      </c>
      <c r="J121" s="4" t="s">
        <v>623</v>
      </c>
      <c r="K121" s="4" t="s">
        <v>25</v>
      </c>
      <c r="L121" s="4" t="s">
        <v>25</v>
      </c>
      <c r="M121" s="3" t="s">
        <v>26</v>
      </c>
      <c r="N121" s="4"/>
      <c r="O121" s="4"/>
      <c r="P121" s="4"/>
    </row>
    <row r="122" spans="1:16" x14ac:dyDescent="0.35">
      <c r="A122" s="3">
        <v>121</v>
      </c>
      <c r="B122" s="4" t="s">
        <v>579</v>
      </c>
      <c r="C122" s="4" t="s">
        <v>624</v>
      </c>
      <c r="D122" s="7" t="s">
        <v>28</v>
      </c>
      <c r="E122" s="4" t="s">
        <v>625</v>
      </c>
      <c r="F122" s="4"/>
      <c r="G122" s="8"/>
      <c r="H122" s="4" t="s">
        <v>626</v>
      </c>
      <c r="I122" s="4" t="s">
        <v>627</v>
      </c>
      <c r="J122" s="4" t="s">
        <v>628</v>
      </c>
      <c r="K122" s="4" t="s">
        <v>25</v>
      </c>
      <c r="L122" s="4" t="s">
        <v>25</v>
      </c>
      <c r="M122" s="3" t="s">
        <v>26</v>
      </c>
      <c r="N122" s="4"/>
      <c r="O122" s="4"/>
      <c r="P122" s="4"/>
    </row>
    <row r="123" spans="1:16" x14ac:dyDescent="0.35">
      <c r="A123" s="3">
        <v>122</v>
      </c>
      <c r="B123" s="4" t="s">
        <v>579</v>
      </c>
      <c r="C123" s="4" t="s">
        <v>629</v>
      </c>
      <c r="D123" s="7" t="s">
        <v>28</v>
      </c>
      <c r="E123" s="4" t="s">
        <v>630</v>
      </c>
      <c r="F123" s="4" t="s">
        <v>46</v>
      </c>
      <c r="G123" s="6" t="s">
        <v>631</v>
      </c>
      <c r="H123" s="4" t="s">
        <v>632</v>
      </c>
      <c r="I123" s="4" t="s">
        <v>633</v>
      </c>
      <c r="J123" s="4" t="s">
        <v>634</v>
      </c>
      <c r="K123" s="4" t="s">
        <v>25</v>
      </c>
      <c r="L123" s="4" t="s">
        <v>25</v>
      </c>
      <c r="M123" s="3" t="s">
        <v>26</v>
      </c>
      <c r="N123" s="4"/>
      <c r="O123" s="4"/>
      <c r="P123" s="4"/>
    </row>
    <row r="124" spans="1:16" x14ac:dyDescent="0.35">
      <c r="A124" s="3">
        <v>123</v>
      </c>
      <c r="B124" s="4" t="s">
        <v>579</v>
      </c>
      <c r="C124" s="4" t="s">
        <v>635</v>
      </c>
      <c r="D124" s="9" t="s">
        <v>219</v>
      </c>
      <c r="E124" s="4" t="s">
        <v>636</v>
      </c>
      <c r="F124" s="4" t="s">
        <v>46</v>
      </c>
      <c r="G124" s="6" t="s">
        <v>637</v>
      </c>
      <c r="H124" s="4" t="s">
        <v>638</v>
      </c>
      <c r="I124" s="4" t="s">
        <v>639</v>
      </c>
      <c r="J124" s="4" t="s">
        <v>640</v>
      </c>
      <c r="K124" s="4" t="s">
        <v>25</v>
      </c>
      <c r="L124" s="4" t="s">
        <v>25</v>
      </c>
      <c r="M124" s="3" t="s">
        <v>26</v>
      </c>
      <c r="N124" s="4"/>
      <c r="O124" s="4"/>
      <c r="P124" s="4"/>
    </row>
    <row r="125" spans="1:16" x14ac:dyDescent="0.35">
      <c r="A125" s="3">
        <v>124</v>
      </c>
      <c r="B125" s="4" t="s">
        <v>579</v>
      </c>
      <c r="C125" s="4" t="s">
        <v>641</v>
      </c>
      <c r="D125" s="7" t="s">
        <v>28</v>
      </c>
      <c r="E125" s="4" t="s">
        <v>642</v>
      </c>
      <c r="F125" s="4" t="s">
        <v>46</v>
      </c>
      <c r="G125" s="6" t="s">
        <v>643</v>
      </c>
      <c r="H125" s="4" t="s">
        <v>644</v>
      </c>
      <c r="I125" s="4" t="s">
        <v>381</v>
      </c>
      <c r="J125" s="4" t="s">
        <v>645</v>
      </c>
      <c r="K125" s="4" t="s">
        <v>25</v>
      </c>
      <c r="L125" s="4" t="s">
        <v>25</v>
      </c>
      <c r="M125" s="3" t="s">
        <v>26</v>
      </c>
      <c r="N125" s="4"/>
      <c r="O125" s="4"/>
      <c r="P125" s="4"/>
    </row>
    <row r="126" spans="1:16" x14ac:dyDescent="0.35">
      <c r="A126" s="3">
        <v>125</v>
      </c>
      <c r="B126" s="4" t="s">
        <v>579</v>
      </c>
      <c r="C126" s="4" t="s">
        <v>646</v>
      </c>
      <c r="D126" s="7" t="s">
        <v>28</v>
      </c>
      <c r="E126" s="4" t="s">
        <v>647</v>
      </c>
      <c r="F126" s="4" t="s">
        <v>46</v>
      </c>
      <c r="G126" s="6" t="s">
        <v>648</v>
      </c>
      <c r="H126" s="4" t="s">
        <v>649</v>
      </c>
      <c r="I126" s="4" t="s">
        <v>650</v>
      </c>
      <c r="J126" s="4" t="s">
        <v>651</v>
      </c>
      <c r="K126" s="4" t="s">
        <v>25</v>
      </c>
      <c r="L126" s="4" t="s">
        <v>25</v>
      </c>
      <c r="M126" s="3" t="s">
        <v>26</v>
      </c>
      <c r="N126" s="4"/>
      <c r="O126" s="4"/>
      <c r="P126" s="4"/>
    </row>
    <row r="127" spans="1:16" x14ac:dyDescent="0.35">
      <c r="A127" s="3">
        <v>126</v>
      </c>
      <c r="B127" s="4" t="s">
        <v>652</v>
      </c>
      <c r="C127" s="4" t="s">
        <v>653</v>
      </c>
      <c r="D127" s="5" t="s">
        <v>18</v>
      </c>
      <c r="E127" s="4" t="s">
        <v>654</v>
      </c>
      <c r="F127" s="4"/>
      <c r="G127" s="8"/>
      <c r="H127" s="4" t="s">
        <v>655</v>
      </c>
      <c r="I127" s="4" t="s">
        <v>656</v>
      </c>
      <c r="J127" s="4" t="s">
        <v>657</v>
      </c>
      <c r="K127" s="4" t="s">
        <v>25</v>
      </c>
      <c r="L127" s="4" t="s">
        <v>25</v>
      </c>
      <c r="M127" s="3" t="s">
        <v>26</v>
      </c>
      <c r="N127" s="4"/>
      <c r="O127" s="4"/>
      <c r="P127" s="4"/>
    </row>
    <row r="128" spans="1:16" x14ac:dyDescent="0.35">
      <c r="A128" s="3">
        <v>127</v>
      </c>
      <c r="B128" s="4" t="s">
        <v>652</v>
      </c>
      <c r="C128" s="4" t="s">
        <v>658</v>
      </c>
      <c r="D128" s="5" t="s">
        <v>18</v>
      </c>
      <c r="E128" s="4" t="s">
        <v>659</v>
      </c>
      <c r="F128" s="4"/>
      <c r="G128" s="8"/>
      <c r="H128" s="4" t="s">
        <v>655</v>
      </c>
      <c r="I128" s="4" t="s">
        <v>660</v>
      </c>
      <c r="J128" s="4" t="s">
        <v>661</v>
      </c>
      <c r="K128" s="4" t="s">
        <v>25</v>
      </c>
      <c r="L128" s="4" t="s">
        <v>25</v>
      </c>
      <c r="M128" s="3" t="s">
        <v>26</v>
      </c>
      <c r="N128" s="4"/>
      <c r="O128" s="4"/>
      <c r="P128" s="4"/>
    </row>
    <row r="129" spans="1:16" x14ac:dyDescent="0.35">
      <c r="A129" s="3">
        <v>128</v>
      </c>
      <c r="B129" s="4" t="s">
        <v>652</v>
      </c>
      <c r="C129" s="4" t="s">
        <v>662</v>
      </c>
      <c r="D129" s="5" t="s">
        <v>18</v>
      </c>
      <c r="E129" s="4" t="s">
        <v>663</v>
      </c>
      <c r="F129" s="4"/>
      <c r="G129" s="8"/>
      <c r="H129" s="4" t="s">
        <v>664</v>
      </c>
      <c r="I129" s="4" t="s">
        <v>665</v>
      </c>
      <c r="J129" s="4" t="s">
        <v>666</v>
      </c>
      <c r="K129" s="4" t="s">
        <v>25</v>
      </c>
      <c r="L129" s="4" t="s">
        <v>25</v>
      </c>
      <c r="M129" s="3" t="s">
        <v>26</v>
      </c>
      <c r="N129" s="4"/>
      <c r="O129" s="4"/>
      <c r="P129" s="4"/>
    </row>
    <row r="130" spans="1:16" x14ac:dyDescent="0.35">
      <c r="A130" s="3">
        <v>129</v>
      </c>
      <c r="B130" s="4" t="s">
        <v>652</v>
      </c>
      <c r="C130" s="4" t="s">
        <v>667</v>
      </c>
      <c r="D130" s="7" t="s">
        <v>28</v>
      </c>
      <c r="E130" s="4" t="s">
        <v>668</v>
      </c>
      <c r="F130" s="4"/>
      <c r="G130" s="8"/>
      <c r="H130" s="4" t="s">
        <v>165</v>
      </c>
      <c r="I130" s="4" t="s">
        <v>166</v>
      </c>
      <c r="J130" s="4" t="s">
        <v>669</v>
      </c>
      <c r="K130" s="4" t="s">
        <v>25</v>
      </c>
      <c r="L130" s="4" t="s">
        <v>25</v>
      </c>
      <c r="M130" s="3" t="s">
        <v>26</v>
      </c>
      <c r="N130" s="4"/>
      <c r="O130" s="4"/>
      <c r="P130" s="4"/>
    </row>
    <row r="131" spans="1:16" x14ac:dyDescent="0.35">
      <c r="A131" s="3">
        <v>130</v>
      </c>
      <c r="B131" s="4" t="s">
        <v>652</v>
      </c>
      <c r="C131" s="4" t="s">
        <v>670</v>
      </c>
      <c r="D131" s="7" t="s">
        <v>28</v>
      </c>
      <c r="E131" s="4" t="s">
        <v>671</v>
      </c>
      <c r="F131" s="4"/>
      <c r="G131" s="8"/>
      <c r="H131" s="4" t="s">
        <v>170</v>
      </c>
      <c r="I131" s="4" t="s">
        <v>37</v>
      </c>
      <c r="J131" s="4" t="s">
        <v>672</v>
      </c>
      <c r="K131" s="4" t="s">
        <v>25</v>
      </c>
      <c r="L131" s="4" t="s">
        <v>25</v>
      </c>
      <c r="M131" s="3" t="s">
        <v>26</v>
      </c>
      <c r="N131" s="4"/>
      <c r="O131" s="4"/>
      <c r="P131" s="4"/>
    </row>
    <row r="132" spans="1:16" x14ac:dyDescent="0.35">
      <c r="A132" s="3">
        <v>131</v>
      </c>
      <c r="B132" s="4" t="s">
        <v>652</v>
      </c>
      <c r="C132" s="4" t="s">
        <v>673</v>
      </c>
      <c r="D132" s="7" t="s">
        <v>28</v>
      </c>
      <c r="E132" s="4" t="s">
        <v>674</v>
      </c>
      <c r="F132" s="4"/>
      <c r="G132" s="8"/>
      <c r="H132" s="4" t="s">
        <v>675</v>
      </c>
      <c r="I132" s="4" t="s">
        <v>497</v>
      </c>
      <c r="J132" s="4" t="s">
        <v>676</v>
      </c>
      <c r="K132" s="4" t="s">
        <v>25</v>
      </c>
      <c r="L132" s="4" t="s">
        <v>25</v>
      </c>
      <c r="M132" s="3" t="s">
        <v>26</v>
      </c>
      <c r="N132" s="4"/>
      <c r="O132" s="4"/>
      <c r="P132" s="4"/>
    </row>
    <row r="133" spans="1:16" x14ac:dyDescent="0.35">
      <c r="A133" s="3">
        <v>132</v>
      </c>
      <c r="B133" s="4" t="s">
        <v>652</v>
      </c>
      <c r="C133" s="4" t="s">
        <v>677</v>
      </c>
      <c r="D133" s="7" t="s">
        <v>28</v>
      </c>
      <c r="E133" s="4" t="s">
        <v>678</v>
      </c>
      <c r="F133" s="4"/>
      <c r="G133" s="8"/>
      <c r="H133" s="4" t="s">
        <v>679</v>
      </c>
      <c r="I133" s="4" t="s">
        <v>680</v>
      </c>
      <c r="J133" s="4" t="s">
        <v>681</v>
      </c>
      <c r="K133" s="4" t="s">
        <v>25</v>
      </c>
      <c r="L133" s="4" t="s">
        <v>25</v>
      </c>
      <c r="M133" s="3" t="s">
        <v>26</v>
      </c>
      <c r="N133" s="4"/>
      <c r="O133" s="4"/>
      <c r="P133" s="4"/>
    </row>
    <row r="134" spans="1:16" x14ac:dyDescent="0.35">
      <c r="A134" s="3">
        <v>133</v>
      </c>
      <c r="B134" s="4" t="s">
        <v>652</v>
      </c>
      <c r="C134" s="4" t="s">
        <v>682</v>
      </c>
      <c r="D134" s="7" t="s">
        <v>28</v>
      </c>
      <c r="E134" s="4" t="s">
        <v>683</v>
      </c>
      <c r="F134" s="4"/>
      <c r="G134" s="8"/>
      <c r="H134" s="4" t="s">
        <v>42</v>
      </c>
      <c r="I134" s="4" t="s">
        <v>684</v>
      </c>
      <c r="J134" s="4" t="s">
        <v>685</v>
      </c>
      <c r="K134" s="4" t="s">
        <v>686</v>
      </c>
      <c r="L134" s="4" t="s">
        <v>25</v>
      </c>
      <c r="M134" s="3" t="s">
        <v>26</v>
      </c>
      <c r="N134" s="4"/>
      <c r="O134" s="4"/>
      <c r="P134" s="4"/>
    </row>
    <row r="135" spans="1:16" x14ac:dyDescent="0.35">
      <c r="A135" s="3">
        <v>134</v>
      </c>
      <c r="B135" s="4" t="s">
        <v>652</v>
      </c>
      <c r="C135" s="4" t="s">
        <v>687</v>
      </c>
      <c r="D135" s="7" t="s">
        <v>28</v>
      </c>
      <c r="E135" s="4" t="s">
        <v>688</v>
      </c>
      <c r="F135" s="4"/>
      <c r="G135" s="8"/>
      <c r="H135" s="4" t="s">
        <v>327</v>
      </c>
      <c r="I135" s="4" t="s">
        <v>689</v>
      </c>
      <c r="J135" s="4" t="s">
        <v>690</v>
      </c>
      <c r="K135" s="4" t="s">
        <v>686</v>
      </c>
      <c r="L135" s="4" t="s">
        <v>25</v>
      </c>
      <c r="M135" s="3" t="s">
        <v>26</v>
      </c>
      <c r="N135" s="4"/>
      <c r="O135" s="4"/>
      <c r="P135" s="4"/>
    </row>
    <row r="136" spans="1:16" x14ac:dyDescent="0.35">
      <c r="A136" s="3">
        <v>135</v>
      </c>
      <c r="B136" s="4" t="s">
        <v>652</v>
      </c>
      <c r="C136" s="4" t="s">
        <v>691</v>
      </c>
      <c r="D136" s="7" t="s">
        <v>28</v>
      </c>
      <c r="E136" s="4" t="s">
        <v>692</v>
      </c>
      <c r="F136" s="4"/>
      <c r="G136" s="8"/>
      <c r="H136" s="4" t="s">
        <v>42</v>
      </c>
      <c r="I136" s="4" t="s">
        <v>693</v>
      </c>
      <c r="J136" s="4" t="s">
        <v>694</v>
      </c>
      <c r="K136" s="4" t="s">
        <v>686</v>
      </c>
      <c r="L136" s="4" t="s">
        <v>25</v>
      </c>
      <c r="M136" s="3" t="s">
        <v>26</v>
      </c>
      <c r="N136" s="4"/>
      <c r="O136" s="4"/>
      <c r="P136" s="4"/>
    </row>
    <row r="137" spans="1:16" x14ac:dyDescent="0.35">
      <c r="A137" s="3">
        <v>136</v>
      </c>
      <c r="B137" s="4" t="s">
        <v>652</v>
      </c>
      <c r="C137" s="4" t="s">
        <v>695</v>
      </c>
      <c r="D137" s="7" t="s">
        <v>28</v>
      </c>
      <c r="E137" s="4" t="s">
        <v>696</v>
      </c>
      <c r="F137" s="4" t="s">
        <v>46</v>
      </c>
      <c r="G137" s="6" t="s">
        <v>697</v>
      </c>
      <c r="H137" s="4" t="s">
        <v>698</v>
      </c>
      <c r="I137" s="4" t="s">
        <v>699</v>
      </c>
      <c r="J137" s="4" t="s">
        <v>700</v>
      </c>
      <c r="K137" s="4" t="s">
        <v>25</v>
      </c>
      <c r="L137" s="4" t="s">
        <v>25</v>
      </c>
      <c r="M137" s="3" t="s">
        <v>26</v>
      </c>
      <c r="N137" s="4"/>
      <c r="O137" s="4"/>
      <c r="P137" s="4"/>
    </row>
    <row r="138" spans="1:16" x14ac:dyDescent="0.35">
      <c r="A138" s="3">
        <v>137</v>
      </c>
      <c r="B138" s="4" t="s">
        <v>652</v>
      </c>
      <c r="C138" s="4" t="s">
        <v>701</v>
      </c>
      <c r="D138" s="7" t="s">
        <v>28</v>
      </c>
      <c r="E138" s="4" t="s">
        <v>702</v>
      </c>
      <c r="F138" s="4" t="s">
        <v>46</v>
      </c>
      <c r="G138" s="6" t="s">
        <v>703</v>
      </c>
      <c r="H138" s="4" t="s">
        <v>704</v>
      </c>
      <c r="I138" s="4" t="s">
        <v>705</v>
      </c>
      <c r="J138" s="4" t="s">
        <v>706</v>
      </c>
      <c r="K138" s="4" t="s">
        <v>25</v>
      </c>
      <c r="L138" s="4" t="s">
        <v>25</v>
      </c>
      <c r="M138" s="3" t="s">
        <v>26</v>
      </c>
      <c r="N138" s="4"/>
      <c r="O138" s="4"/>
      <c r="P138" s="4"/>
    </row>
    <row r="139" spans="1:16" x14ac:dyDescent="0.35">
      <c r="A139" s="3">
        <v>138</v>
      </c>
      <c r="B139" s="4" t="s">
        <v>652</v>
      </c>
      <c r="C139" s="4" t="s">
        <v>707</v>
      </c>
      <c r="D139" s="7" t="s">
        <v>28</v>
      </c>
      <c r="E139" s="4" t="s">
        <v>708</v>
      </c>
      <c r="F139" s="4" t="s">
        <v>46</v>
      </c>
      <c r="G139" s="6" t="s">
        <v>709</v>
      </c>
      <c r="H139" s="4" t="s">
        <v>710</v>
      </c>
      <c r="I139" s="4" t="s">
        <v>711</v>
      </c>
      <c r="J139" s="4" t="s">
        <v>712</v>
      </c>
      <c r="K139" s="4" t="s">
        <v>686</v>
      </c>
      <c r="L139" s="4" t="s">
        <v>25</v>
      </c>
      <c r="M139" s="3" t="s">
        <v>26</v>
      </c>
      <c r="N139" s="4"/>
      <c r="O139" s="4"/>
      <c r="P139" s="4"/>
    </row>
    <row r="140" spans="1:16" x14ac:dyDescent="0.35">
      <c r="A140" s="3">
        <v>139</v>
      </c>
      <c r="B140" s="4" t="s">
        <v>652</v>
      </c>
      <c r="C140" s="4" t="s">
        <v>713</v>
      </c>
      <c r="D140" s="9" t="s">
        <v>219</v>
      </c>
      <c r="E140" s="4" t="s">
        <v>714</v>
      </c>
      <c r="F140" s="4" t="s">
        <v>46</v>
      </c>
      <c r="G140" s="6" t="s">
        <v>715</v>
      </c>
      <c r="H140" s="4" t="s">
        <v>716</v>
      </c>
      <c r="I140" s="4" t="s">
        <v>717</v>
      </c>
      <c r="J140" s="4" t="s">
        <v>718</v>
      </c>
      <c r="K140" s="4" t="s">
        <v>25</v>
      </c>
      <c r="L140" s="4" t="s">
        <v>25</v>
      </c>
      <c r="M140" s="3" t="s">
        <v>26</v>
      </c>
      <c r="N140" s="4"/>
      <c r="O140" s="4"/>
      <c r="P140" s="4"/>
    </row>
    <row r="141" spans="1:16" x14ac:dyDescent="0.35">
      <c r="A141" s="3">
        <v>140</v>
      </c>
      <c r="B141" s="4" t="s">
        <v>652</v>
      </c>
      <c r="C141" s="4" t="s">
        <v>719</v>
      </c>
      <c r="D141" s="9" t="s">
        <v>219</v>
      </c>
      <c r="E141" s="4" t="s">
        <v>720</v>
      </c>
      <c r="F141" s="4" t="s">
        <v>46</v>
      </c>
      <c r="G141" s="6" t="s">
        <v>721</v>
      </c>
      <c r="H141" s="4" t="s">
        <v>722</v>
      </c>
      <c r="I141" s="4" t="s">
        <v>723</v>
      </c>
      <c r="J141" s="4" t="s">
        <v>724</v>
      </c>
      <c r="K141" s="4" t="s">
        <v>25</v>
      </c>
      <c r="L141" s="4" t="s">
        <v>25</v>
      </c>
      <c r="M141" s="3" t="s">
        <v>26</v>
      </c>
      <c r="N141" s="4"/>
      <c r="O141" s="4"/>
      <c r="P141" s="4"/>
    </row>
    <row r="142" spans="1:16" x14ac:dyDescent="0.35">
      <c r="A142" s="3">
        <v>141</v>
      </c>
      <c r="B142" s="4" t="s">
        <v>725</v>
      </c>
      <c r="C142" s="4" t="s">
        <v>726</v>
      </c>
      <c r="D142" s="5" t="s">
        <v>18</v>
      </c>
      <c r="E142" s="4" t="s">
        <v>727</v>
      </c>
      <c r="F142" s="4"/>
      <c r="G142" s="8"/>
      <c r="H142" s="4" t="s">
        <v>42</v>
      </c>
      <c r="I142" s="4" t="s">
        <v>728</v>
      </c>
      <c r="J142" s="4" t="s">
        <v>729</v>
      </c>
      <c r="K142" s="4" t="s">
        <v>25</v>
      </c>
      <c r="L142" s="4" t="s">
        <v>25</v>
      </c>
      <c r="M142" s="3" t="s">
        <v>26</v>
      </c>
      <c r="N142" s="4"/>
      <c r="O142" s="4"/>
      <c r="P142" s="4"/>
    </row>
    <row r="143" spans="1:16" x14ac:dyDescent="0.35">
      <c r="A143" s="3">
        <v>142</v>
      </c>
      <c r="B143" s="4" t="s">
        <v>725</v>
      </c>
      <c r="C143" s="4" t="s">
        <v>730</v>
      </c>
      <c r="D143" s="5" t="s">
        <v>18</v>
      </c>
      <c r="E143" s="4" t="s">
        <v>731</v>
      </c>
      <c r="F143" s="4"/>
      <c r="G143" s="8"/>
      <c r="H143" s="4" t="s">
        <v>42</v>
      </c>
      <c r="I143" s="4" t="s">
        <v>42</v>
      </c>
      <c r="J143" s="4" t="s">
        <v>732</v>
      </c>
      <c r="K143" s="4" t="s">
        <v>25</v>
      </c>
      <c r="L143" s="4" t="s">
        <v>25</v>
      </c>
      <c r="M143" s="3" t="s">
        <v>26</v>
      </c>
      <c r="N143" s="4"/>
      <c r="O143" s="4"/>
      <c r="P143" s="4"/>
    </row>
    <row r="144" spans="1:16" x14ac:dyDescent="0.35">
      <c r="A144" s="3">
        <v>143</v>
      </c>
      <c r="B144" s="4" t="s">
        <v>725</v>
      </c>
      <c r="C144" s="4" t="s">
        <v>733</v>
      </c>
      <c r="D144" s="5" t="s">
        <v>18</v>
      </c>
      <c r="E144" s="4" t="s">
        <v>734</v>
      </c>
      <c r="F144" s="4"/>
      <c r="G144" s="8"/>
      <c r="H144" s="4" t="s">
        <v>42</v>
      </c>
      <c r="I144" s="4" t="s">
        <v>735</v>
      </c>
      <c r="J144" s="4" t="s">
        <v>736</v>
      </c>
      <c r="K144" s="4" t="s">
        <v>25</v>
      </c>
      <c r="L144" s="4" t="s">
        <v>25</v>
      </c>
      <c r="M144" s="3" t="s">
        <v>26</v>
      </c>
      <c r="N144" s="4"/>
      <c r="O144" s="4"/>
      <c r="P144" s="4"/>
    </row>
    <row r="145" spans="1:16" x14ac:dyDescent="0.35">
      <c r="A145" s="3">
        <v>144</v>
      </c>
      <c r="B145" s="4" t="s">
        <v>725</v>
      </c>
      <c r="C145" s="4" t="s">
        <v>737</v>
      </c>
      <c r="D145" s="5" t="s">
        <v>18</v>
      </c>
      <c r="E145" s="4" t="s">
        <v>738</v>
      </c>
      <c r="F145" s="4"/>
      <c r="G145" s="8"/>
      <c r="H145" s="4" t="s">
        <v>42</v>
      </c>
      <c r="I145" s="4" t="s">
        <v>739</v>
      </c>
      <c r="J145" s="4" t="s">
        <v>740</v>
      </c>
      <c r="K145" s="4" t="s">
        <v>25</v>
      </c>
      <c r="L145" s="4" t="s">
        <v>25</v>
      </c>
      <c r="M145" s="3" t="s">
        <v>26</v>
      </c>
      <c r="N145" s="4"/>
      <c r="O145" s="4"/>
      <c r="P145" s="4"/>
    </row>
    <row r="146" spans="1:16" x14ac:dyDescent="0.35">
      <c r="A146" s="3">
        <v>145</v>
      </c>
      <c r="B146" s="4" t="s">
        <v>725</v>
      </c>
      <c r="C146" s="4" t="s">
        <v>741</v>
      </c>
      <c r="D146" s="5" t="s">
        <v>18</v>
      </c>
      <c r="E146" s="4" t="s">
        <v>742</v>
      </c>
      <c r="F146" s="4"/>
      <c r="G146" s="8"/>
      <c r="H146" s="4" t="s">
        <v>36</v>
      </c>
      <c r="I146" s="4" t="s">
        <v>743</v>
      </c>
      <c r="J146" s="4" t="s">
        <v>744</v>
      </c>
      <c r="K146" s="4" t="s">
        <v>25</v>
      </c>
      <c r="L146" s="4" t="s">
        <v>25</v>
      </c>
      <c r="M146" s="3" t="s">
        <v>26</v>
      </c>
      <c r="N146" s="4"/>
      <c r="O146" s="4"/>
      <c r="P146" s="4"/>
    </row>
    <row r="147" spans="1:16" x14ac:dyDescent="0.35">
      <c r="A147" s="3">
        <v>146</v>
      </c>
      <c r="B147" s="4" t="s">
        <v>725</v>
      </c>
      <c r="C147" s="4" t="s">
        <v>745</v>
      </c>
      <c r="D147" s="7" t="s">
        <v>28</v>
      </c>
      <c r="E147" s="4" t="s">
        <v>746</v>
      </c>
      <c r="F147" s="4" t="s">
        <v>46</v>
      </c>
      <c r="G147" s="6" t="s">
        <v>747</v>
      </c>
      <c r="H147" s="4" t="s">
        <v>748</v>
      </c>
      <c r="I147" s="4" t="s">
        <v>69</v>
      </c>
      <c r="J147" s="4" t="s">
        <v>749</v>
      </c>
      <c r="K147" s="4" t="s">
        <v>25</v>
      </c>
      <c r="L147" s="4" t="s">
        <v>25</v>
      </c>
      <c r="M147" s="3" t="s">
        <v>26</v>
      </c>
      <c r="N147" s="4"/>
      <c r="O147" s="4"/>
      <c r="P147" s="4"/>
    </row>
    <row r="148" spans="1:16" x14ac:dyDescent="0.35">
      <c r="A148" s="3">
        <v>147</v>
      </c>
      <c r="B148" s="4" t="s">
        <v>725</v>
      </c>
      <c r="C148" s="4" t="s">
        <v>750</v>
      </c>
      <c r="D148" s="7" t="s">
        <v>28</v>
      </c>
      <c r="E148" s="4" t="s">
        <v>751</v>
      </c>
      <c r="F148" s="4"/>
      <c r="G148" s="8"/>
      <c r="H148" s="4" t="s">
        <v>748</v>
      </c>
      <c r="I148" s="4" t="s">
        <v>86</v>
      </c>
      <c r="J148" s="4" t="s">
        <v>752</v>
      </c>
      <c r="K148" s="4" t="s">
        <v>25</v>
      </c>
      <c r="L148" s="4" t="s">
        <v>25</v>
      </c>
      <c r="M148" s="3" t="s">
        <v>26</v>
      </c>
      <c r="N148" s="4"/>
      <c r="O148" s="4"/>
      <c r="P148" s="4"/>
    </row>
    <row r="149" spans="1:16" x14ac:dyDescent="0.35">
      <c r="A149" s="3">
        <v>148</v>
      </c>
      <c r="B149" s="4" t="s">
        <v>725</v>
      </c>
      <c r="C149" s="4" t="s">
        <v>753</v>
      </c>
      <c r="D149" s="7" t="s">
        <v>28</v>
      </c>
      <c r="E149" s="4" t="s">
        <v>754</v>
      </c>
      <c r="F149" s="4"/>
      <c r="G149" s="8"/>
      <c r="H149" s="4" t="s">
        <v>42</v>
      </c>
      <c r="I149" s="4" t="s">
        <v>69</v>
      </c>
      <c r="J149" s="4" t="s">
        <v>755</v>
      </c>
      <c r="K149" s="4" t="s">
        <v>25</v>
      </c>
      <c r="L149" s="4" t="s">
        <v>25</v>
      </c>
      <c r="M149" s="3" t="s">
        <v>26</v>
      </c>
      <c r="N149" s="4"/>
      <c r="O149" s="4"/>
      <c r="P149" s="4"/>
    </row>
    <row r="150" spans="1:16" x14ac:dyDescent="0.35">
      <c r="A150" s="3">
        <v>149</v>
      </c>
      <c r="B150" s="4" t="s">
        <v>725</v>
      </c>
      <c r="C150" s="4" t="s">
        <v>756</v>
      </c>
      <c r="D150" s="7" t="s">
        <v>28</v>
      </c>
      <c r="E150" s="4" t="s">
        <v>757</v>
      </c>
      <c r="F150" s="4"/>
      <c r="G150" s="8"/>
      <c r="H150" s="4" t="s">
        <v>42</v>
      </c>
      <c r="I150" s="4" t="s">
        <v>86</v>
      </c>
      <c r="J150" s="4" t="s">
        <v>758</v>
      </c>
      <c r="K150" s="4" t="s">
        <v>25</v>
      </c>
      <c r="L150" s="4" t="s">
        <v>25</v>
      </c>
      <c r="M150" s="3" t="s">
        <v>26</v>
      </c>
      <c r="N150" s="4"/>
      <c r="O150" s="4"/>
      <c r="P150" s="4"/>
    </row>
    <row r="151" spans="1:16" x14ac:dyDescent="0.35">
      <c r="A151" s="3">
        <v>150</v>
      </c>
      <c r="B151" s="4" t="s">
        <v>725</v>
      </c>
      <c r="C151" s="4" t="s">
        <v>759</v>
      </c>
      <c r="D151" s="7" t="s">
        <v>28</v>
      </c>
      <c r="E151" s="4" t="s">
        <v>760</v>
      </c>
      <c r="F151" s="4"/>
      <c r="G151" s="8"/>
      <c r="H151" s="4" t="s">
        <v>761</v>
      </c>
      <c r="I151" s="4" t="s">
        <v>37</v>
      </c>
      <c r="J151" s="4" t="s">
        <v>762</v>
      </c>
      <c r="K151" s="4" t="s">
        <v>25</v>
      </c>
      <c r="L151" s="4" t="s">
        <v>25</v>
      </c>
      <c r="M151" s="3" t="s">
        <v>26</v>
      </c>
      <c r="N151" s="4"/>
      <c r="O151" s="4"/>
      <c r="P151" s="4"/>
    </row>
    <row r="152" spans="1:16" x14ac:dyDescent="0.35">
      <c r="A152" s="3">
        <v>151</v>
      </c>
      <c r="B152" s="4" t="s">
        <v>725</v>
      </c>
      <c r="C152" s="4" t="s">
        <v>763</v>
      </c>
      <c r="D152" s="7" t="s">
        <v>28</v>
      </c>
      <c r="E152" s="4" t="s">
        <v>764</v>
      </c>
      <c r="F152" s="4" t="s">
        <v>46</v>
      </c>
      <c r="G152" s="6" t="s">
        <v>765</v>
      </c>
      <c r="H152" s="4" t="s">
        <v>766</v>
      </c>
      <c r="I152" s="4" t="s">
        <v>767</v>
      </c>
      <c r="J152" s="4" t="s">
        <v>768</v>
      </c>
      <c r="K152" s="4" t="s">
        <v>25</v>
      </c>
      <c r="L152" s="4" t="s">
        <v>25</v>
      </c>
      <c r="M152" s="3" t="s">
        <v>26</v>
      </c>
      <c r="N152" s="4"/>
      <c r="O152" s="4"/>
      <c r="P152" s="4"/>
    </row>
    <row r="153" spans="1:16" x14ac:dyDescent="0.35">
      <c r="A153" s="3">
        <v>152</v>
      </c>
      <c r="B153" s="4" t="s">
        <v>725</v>
      </c>
      <c r="C153" s="4" t="s">
        <v>769</v>
      </c>
      <c r="D153" s="7" t="s">
        <v>28</v>
      </c>
      <c r="E153" s="4" t="s">
        <v>770</v>
      </c>
      <c r="F153" s="4" t="s">
        <v>46</v>
      </c>
      <c r="G153" s="6" t="s">
        <v>771</v>
      </c>
      <c r="H153" s="4" t="s">
        <v>748</v>
      </c>
      <c r="I153" s="4" t="s">
        <v>37</v>
      </c>
      <c r="J153" s="4" t="s">
        <v>772</v>
      </c>
      <c r="K153" s="4" t="s">
        <v>25</v>
      </c>
      <c r="L153" s="4" t="s">
        <v>25</v>
      </c>
      <c r="M153" s="3" t="s">
        <v>26</v>
      </c>
      <c r="N153" s="4"/>
      <c r="O153" s="4"/>
      <c r="P153" s="4"/>
    </row>
    <row r="154" spans="1:16" x14ac:dyDescent="0.35">
      <c r="A154" s="3">
        <v>153</v>
      </c>
      <c r="B154" s="4" t="s">
        <v>725</v>
      </c>
      <c r="C154" s="4" t="s">
        <v>773</v>
      </c>
      <c r="D154" s="7" t="s">
        <v>28</v>
      </c>
      <c r="E154" s="4" t="s">
        <v>774</v>
      </c>
      <c r="F154" s="4" t="s">
        <v>46</v>
      </c>
      <c r="G154" s="6" t="s">
        <v>775</v>
      </c>
      <c r="H154" s="4" t="s">
        <v>36</v>
      </c>
      <c r="I154" s="4" t="s">
        <v>69</v>
      </c>
      <c r="J154" s="4" t="s">
        <v>776</v>
      </c>
      <c r="K154" s="4" t="s">
        <v>25</v>
      </c>
      <c r="L154" s="4" t="s">
        <v>25</v>
      </c>
      <c r="M154" s="3" t="s">
        <v>26</v>
      </c>
      <c r="N154" s="4"/>
      <c r="O154" s="4"/>
      <c r="P154" s="4"/>
    </row>
    <row r="155" spans="1:16" x14ac:dyDescent="0.35">
      <c r="A155" s="3">
        <v>154</v>
      </c>
      <c r="B155" s="4" t="s">
        <v>725</v>
      </c>
      <c r="C155" s="4" t="s">
        <v>777</v>
      </c>
      <c r="D155" s="9" t="s">
        <v>219</v>
      </c>
      <c r="E155" s="4" t="s">
        <v>778</v>
      </c>
      <c r="F155" s="4" t="s">
        <v>46</v>
      </c>
      <c r="G155" s="6" t="s">
        <v>779</v>
      </c>
      <c r="H155" s="4" t="s">
        <v>780</v>
      </c>
      <c r="I155" s="4" t="s">
        <v>23</v>
      </c>
      <c r="J155" s="4" t="s">
        <v>781</v>
      </c>
      <c r="K155" s="4" t="s">
        <v>25</v>
      </c>
      <c r="L155" s="4" t="s">
        <v>25</v>
      </c>
      <c r="M155" s="3" t="s">
        <v>26</v>
      </c>
      <c r="N155" s="4"/>
      <c r="O155" s="4"/>
      <c r="P155" s="4"/>
    </row>
    <row r="156" spans="1:16" x14ac:dyDescent="0.35">
      <c r="A156" s="3">
        <v>155</v>
      </c>
      <c r="B156" s="4" t="s">
        <v>725</v>
      </c>
      <c r="C156" s="4" t="s">
        <v>782</v>
      </c>
      <c r="D156" s="7" t="s">
        <v>28</v>
      </c>
      <c r="E156" s="4" t="s">
        <v>783</v>
      </c>
      <c r="F156" s="4" t="s">
        <v>46</v>
      </c>
      <c r="G156" s="6" t="s">
        <v>784</v>
      </c>
      <c r="H156" s="4" t="s">
        <v>748</v>
      </c>
      <c r="I156" s="4" t="s">
        <v>785</v>
      </c>
      <c r="J156" s="4" t="s">
        <v>786</v>
      </c>
      <c r="K156" s="4" t="s">
        <v>25</v>
      </c>
      <c r="L156" s="4" t="s">
        <v>25</v>
      </c>
      <c r="M156" s="3" t="s">
        <v>26</v>
      </c>
      <c r="N156" s="4"/>
      <c r="O156" s="4"/>
      <c r="P156" s="4"/>
    </row>
    <row r="157" spans="1:16" x14ac:dyDescent="0.35">
      <c r="A157" s="3">
        <v>156</v>
      </c>
      <c r="B157" s="4" t="s">
        <v>725</v>
      </c>
      <c r="C157" s="4" t="s">
        <v>787</v>
      </c>
      <c r="D157" s="7" t="s">
        <v>28</v>
      </c>
      <c r="E157" s="4" t="s">
        <v>788</v>
      </c>
      <c r="F157" s="4" t="s">
        <v>46</v>
      </c>
      <c r="G157" s="6" t="s">
        <v>789</v>
      </c>
      <c r="H157" s="4" t="s">
        <v>790</v>
      </c>
      <c r="I157" s="4" t="s">
        <v>791</v>
      </c>
      <c r="J157" s="4" t="s">
        <v>792</v>
      </c>
      <c r="K157" s="4" t="s">
        <v>25</v>
      </c>
      <c r="L157" s="4" t="s">
        <v>25</v>
      </c>
      <c r="M157" s="3" t="s">
        <v>26</v>
      </c>
      <c r="N157" s="4"/>
      <c r="O157" s="4"/>
      <c r="P157" s="4"/>
    </row>
    <row r="158" spans="1:16" x14ac:dyDescent="0.35">
      <c r="A158" s="3">
        <v>157</v>
      </c>
      <c r="B158" s="4" t="s">
        <v>725</v>
      </c>
      <c r="C158" s="4" t="s">
        <v>793</v>
      </c>
      <c r="D158" s="7" t="s">
        <v>28</v>
      </c>
      <c r="E158" s="4" t="s">
        <v>794</v>
      </c>
      <c r="F158" s="4"/>
      <c r="G158" s="8"/>
      <c r="H158" s="4" t="s">
        <v>790</v>
      </c>
      <c r="I158" s="4" t="s">
        <v>791</v>
      </c>
      <c r="J158" s="4" t="s">
        <v>795</v>
      </c>
      <c r="K158" s="4" t="s">
        <v>25</v>
      </c>
      <c r="L158" s="4" t="s">
        <v>25</v>
      </c>
      <c r="M158" s="3" t="s">
        <v>26</v>
      </c>
      <c r="N158" s="4"/>
      <c r="O158" s="4"/>
      <c r="P158" s="4"/>
    </row>
    <row r="159" spans="1:16" x14ac:dyDescent="0.35">
      <c r="A159" s="3">
        <v>158</v>
      </c>
      <c r="B159" s="4" t="s">
        <v>725</v>
      </c>
      <c r="C159" s="4" t="s">
        <v>796</v>
      </c>
      <c r="D159" s="9" t="s">
        <v>219</v>
      </c>
      <c r="E159" s="4" t="s">
        <v>797</v>
      </c>
      <c r="F159" s="4"/>
      <c r="G159" s="8"/>
      <c r="H159" s="4" t="s">
        <v>798</v>
      </c>
      <c r="I159" s="4" t="s">
        <v>799</v>
      </c>
      <c r="J159" s="4" t="s">
        <v>800</v>
      </c>
      <c r="K159" s="4" t="s">
        <v>25</v>
      </c>
      <c r="L159" s="4" t="s">
        <v>25</v>
      </c>
      <c r="M159" s="3" t="s">
        <v>26</v>
      </c>
      <c r="N159" s="4"/>
      <c r="O159" s="4"/>
      <c r="P159" s="4"/>
    </row>
    <row r="160" spans="1:16" x14ac:dyDescent="0.35">
      <c r="A160" s="3">
        <v>159</v>
      </c>
      <c r="B160" s="4" t="s">
        <v>725</v>
      </c>
      <c r="C160" s="4" t="s">
        <v>801</v>
      </c>
      <c r="D160" s="9" t="s">
        <v>219</v>
      </c>
      <c r="E160" s="4" t="s">
        <v>802</v>
      </c>
      <c r="F160" s="4"/>
      <c r="G160" s="8"/>
      <c r="H160" s="4" t="s">
        <v>748</v>
      </c>
      <c r="I160" s="4" t="s">
        <v>803</v>
      </c>
      <c r="J160" s="4" t="s">
        <v>804</v>
      </c>
      <c r="K160" s="4" t="s">
        <v>25</v>
      </c>
      <c r="L160" s="4" t="s">
        <v>25</v>
      </c>
      <c r="M160" s="3" t="s">
        <v>26</v>
      </c>
      <c r="N160" s="4"/>
      <c r="O160" s="4"/>
      <c r="P160" s="4"/>
    </row>
    <row r="161" spans="1:16" x14ac:dyDescent="0.35">
      <c r="A161" s="3">
        <v>160</v>
      </c>
      <c r="B161" s="4" t="s">
        <v>725</v>
      </c>
      <c r="C161" s="4" t="s">
        <v>805</v>
      </c>
      <c r="D161" s="7" t="s">
        <v>28</v>
      </c>
      <c r="E161" s="4" t="s">
        <v>806</v>
      </c>
      <c r="F161" s="4" t="s">
        <v>46</v>
      </c>
      <c r="G161" s="6" t="s">
        <v>807</v>
      </c>
      <c r="H161" s="4" t="s">
        <v>808</v>
      </c>
      <c r="I161" s="4" t="s">
        <v>69</v>
      </c>
      <c r="J161" s="4" t="s">
        <v>809</v>
      </c>
      <c r="K161" s="4" t="s">
        <v>25</v>
      </c>
      <c r="L161" s="4" t="s">
        <v>25</v>
      </c>
      <c r="M161" s="3" t="s">
        <v>26</v>
      </c>
      <c r="N161" s="4"/>
      <c r="O161" s="4"/>
      <c r="P161" s="4"/>
    </row>
    <row r="162" spans="1:16" x14ac:dyDescent="0.35">
      <c r="A162" s="3">
        <v>161</v>
      </c>
      <c r="B162" s="4" t="s">
        <v>725</v>
      </c>
      <c r="C162" s="4" t="s">
        <v>810</v>
      </c>
      <c r="D162" s="7" t="s">
        <v>28</v>
      </c>
      <c r="E162" s="4" t="s">
        <v>811</v>
      </c>
      <c r="F162" s="4" t="s">
        <v>46</v>
      </c>
      <c r="G162" s="6" t="s">
        <v>812</v>
      </c>
      <c r="H162" s="4" t="s">
        <v>735</v>
      </c>
      <c r="I162" s="4" t="s">
        <v>37</v>
      </c>
      <c r="J162" s="4" t="s">
        <v>813</v>
      </c>
      <c r="K162" s="4" t="s">
        <v>25</v>
      </c>
      <c r="L162" s="4" t="s">
        <v>25</v>
      </c>
      <c r="M162" s="3" t="s">
        <v>26</v>
      </c>
      <c r="N162" s="4"/>
      <c r="O162" s="4"/>
      <c r="P162" s="4"/>
    </row>
    <row r="163" spans="1:16" x14ac:dyDescent="0.35">
      <c r="A163" s="3">
        <v>162</v>
      </c>
      <c r="B163" s="4" t="s">
        <v>725</v>
      </c>
      <c r="C163" s="4" t="s">
        <v>814</v>
      </c>
      <c r="D163" s="7" t="s">
        <v>28</v>
      </c>
      <c r="E163" s="4" t="s">
        <v>815</v>
      </c>
      <c r="F163" s="4" t="s">
        <v>46</v>
      </c>
      <c r="G163" s="6" t="s">
        <v>816</v>
      </c>
      <c r="H163" s="4" t="s">
        <v>817</v>
      </c>
      <c r="I163" s="4" t="s">
        <v>69</v>
      </c>
      <c r="J163" s="4" t="s">
        <v>818</v>
      </c>
      <c r="K163" s="4" t="s">
        <v>25</v>
      </c>
      <c r="L163" s="4" t="s">
        <v>25</v>
      </c>
      <c r="M163" s="3" t="s">
        <v>26</v>
      </c>
      <c r="N163" s="4"/>
      <c r="O163" s="4"/>
      <c r="P163" s="4"/>
    </row>
    <row r="164" spans="1:16" x14ac:dyDescent="0.35">
      <c r="A164" s="3">
        <v>163</v>
      </c>
      <c r="B164" s="4" t="s">
        <v>725</v>
      </c>
      <c r="C164" s="4" t="s">
        <v>819</v>
      </c>
      <c r="D164" s="7" t="s">
        <v>28</v>
      </c>
      <c r="E164" s="4" t="s">
        <v>820</v>
      </c>
      <c r="F164" s="4" t="s">
        <v>46</v>
      </c>
      <c r="G164" s="6" t="s">
        <v>821</v>
      </c>
      <c r="H164" s="4" t="s">
        <v>822</v>
      </c>
      <c r="I164" s="4" t="s">
        <v>823</v>
      </c>
      <c r="J164" s="4" t="s">
        <v>824</v>
      </c>
      <c r="K164" s="4" t="s">
        <v>25</v>
      </c>
      <c r="L164" s="4" t="s">
        <v>25</v>
      </c>
      <c r="M164" s="3" t="s">
        <v>26</v>
      </c>
      <c r="N164" s="4"/>
      <c r="O164" s="4"/>
      <c r="P164" s="4"/>
    </row>
    <row r="165" spans="1:16" x14ac:dyDescent="0.35">
      <c r="A165" s="3">
        <v>164</v>
      </c>
      <c r="B165" s="4" t="s">
        <v>725</v>
      </c>
      <c r="C165" s="4" t="s">
        <v>825</v>
      </c>
      <c r="D165" s="7" t="s">
        <v>28</v>
      </c>
      <c r="E165" s="4" t="s">
        <v>826</v>
      </c>
      <c r="F165" s="4" t="s">
        <v>46</v>
      </c>
      <c r="G165" s="6" t="s">
        <v>827</v>
      </c>
      <c r="H165" s="4" t="s">
        <v>828</v>
      </c>
      <c r="I165" s="4" t="s">
        <v>829</v>
      </c>
      <c r="J165" s="4" t="s">
        <v>830</v>
      </c>
      <c r="K165" s="4" t="s">
        <v>25</v>
      </c>
      <c r="L165" s="4" t="s">
        <v>25</v>
      </c>
      <c r="M165" s="3" t="s">
        <v>26</v>
      </c>
      <c r="N165" s="4"/>
      <c r="O165" s="4"/>
      <c r="P165" s="4"/>
    </row>
    <row r="166" spans="1:16" x14ac:dyDescent="0.35">
      <c r="A166" s="3">
        <v>165</v>
      </c>
      <c r="B166" s="4" t="s">
        <v>725</v>
      </c>
      <c r="C166" s="4" t="s">
        <v>831</v>
      </c>
      <c r="D166" s="7" t="s">
        <v>28</v>
      </c>
      <c r="E166" s="4" t="s">
        <v>832</v>
      </c>
      <c r="F166" s="4" t="s">
        <v>46</v>
      </c>
      <c r="G166" s="6" t="s">
        <v>833</v>
      </c>
      <c r="H166" s="4" t="s">
        <v>834</v>
      </c>
      <c r="I166" s="4" t="s">
        <v>75</v>
      </c>
      <c r="J166" s="4" t="s">
        <v>835</v>
      </c>
      <c r="K166" s="4" t="s">
        <v>25</v>
      </c>
      <c r="L166" s="4" t="s">
        <v>25</v>
      </c>
      <c r="M166" s="3" t="s">
        <v>26</v>
      </c>
      <c r="N166" s="4"/>
      <c r="O166" s="4"/>
      <c r="P166" s="4"/>
    </row>
    <row r="167" spans="1:16" x14ac:dyDescent="0.35">
      <c r="A167" s="3">
        <v>166</v>
      </c>
      <c r="B167" s="4" t="s">
        <v>836</v>
      </c>
      <c r="C167" s="4" t="s">
        <v>837</v>
      </c>
      <c r="D167" s="5" t="s">
        <v>18</v>
      </c>
      <c r="E167" s="4" t="s">
        <v>838</v>
      </c>
      <c r="F167" s="4" t="s">
        <v>20</v>
      </c>
      <c r="G167" s="6" t="s">
        <v>839</v>
      </c>
      <c r="H167" s="4" t="s">
        <v>840</v>
      </c>
      <c r="I167" s="4" t="s">
        <v>841</v>
      </c>
      <c r="J167" s="4" t="s">
        <v>842</v>
      </c>
      <c r="K167" s="4" t="s">
        <v>25</v>
      </c>
      <c r="L167" s="4" t="s">
        <v>25</v>
      </c>
      <c r="M167" s="3" t="s">
        <v>26</v>
      </c>
      <c r="N167" s="4"/>
      <c r="O167" s="4"/>
      <c r="P167" s="4"/>
    </row>
    <row r="168" spans="1:16" x14ac:dyDescent="0.35">
      <c r="A168" s="3">
        <v>167</v>
      </c>
      <c r="B168" s="4" t="s">
        <v>836</v>
      </c>
      <c r="C168" s="4" t="s">
        <v>843</v>
      </c>
      <c r="D168" s="5" t="s">
        <v>18</v>
      </c>
      <c r="E168" s="4" t="s">
        <v>844</v>
      </c>
      <c r="F168" s="4" t="s">
        <v>20</v>
      </c>
      <c r="G168" s="6" t="s">
        <v>839</v>
      </c>
      <c r="H168" s="4" t="s">
        <v>840</v>
      </c>
      <c r="I168" s="4" t="s">
        <v>845</v>
      </c>
      <c r="J168" s="4" t="s">
        <v>846</v>
      </c>
      <c r="K168" s="4" t="s">
        <v>25</v>
      </c>
      <c r="L168" s="4" t="s">
        <v>25</v>
      </c>
      <c r="M168" s="3" t="s">
        <v>26</v>
      </c>
      <c r="N168" s="4"/>
      <c r="O168" s="4"/>
      <c r="P168" s="4"/>
    </row>
    <row r="169" spans="1:16" x14ac:dyDescent="0.35">
      <c r="A169" s="3">
        <v>168</v>
      </c>
      <c r="B169" s="4" t="s">
        <v>836</v>
      </c>
      <c r="C169" s="4" t="s">
        <v>847</v>
      </c>
      <c r="D169" s="7" t="s">
        <v>28</v>
      </c>
      <c r="E169" s="4" t="s">
        <v>848</v>
      </c>
      <c r="F169" s="4" t="s">
        <v>46</v>
      </c>
      <c r="G169" s="6" t="s">
        <v>849</v>
      </c>
      <c r="H169" s="4" t="s">
        <v>850</v>
      </c>
      <c r="I169" s="4" t="s">
        <v>103</v>
      </c>
      <c r="J169" s="4" t="s">
        <v>851</v>
      </c>
      <c r="K169" s="4" t="s">
        <v>25</v>
      </c>
      <c r="L169" s="4" t="s">
        <v>25</v>
      </c>
      <c r="M169" s="3" t="s">
        <v>26</v>
      </c>
      <c r="N169" s="4"/>
      <c r="O169" s="4"/>
      <c r="P169" s="4"/>
    </row>
    <row r="170" spans="1:16" x14ac:dyDescent="0.35">
      <c r="A170" s="3">
        <v>169</v>
      </c>
      <c r="B170" s="4" t="s">
        <v>836</v>
      </c>
      <c r="C170" s="4" t="s">
        <v>852</v>
      </c>
      <c r="D170" s="7" t="s">
        <v>28</v>
      </c>
      <c r="E170" s="4" t="s">
        <v>853</v>
      </c>
      <c r="F170" s="4"/>
      <c r="G170" s="8"/>
      <c r="H170" s="4" t="s">
        <v>850</v>
      </c>
      <c r="I170" s="4" t="s">
        <v>86</v>
      </c>
      <c r="J170" s="4" t="s">
        <v>854</v>
      </c>
      <c r="K170" s="4" t="s">
        <v>25</v>
      </c>
      <c r="L170" s="4" t="s">
        <v>25</v>
      </c>
      <c r="M170" s="3" t="s">
        <v>26</v>
      </c>
      <c r="N170" s="4"/>
      <c r="O170" s="4"/>
      <c r="P170" s="4"/>
    </row>
    <row r="171" spans="1:16" x14ac:dyDescent="0.35">
      <c r="A171" s="3">
        <v>170</v>
      </c>
      <c r="B171" s="4" t="s">
        <v>836</v>
      </c>
      <c r="C171" s="4" t="s">
        <v>855</v>
      </c>
      <c r="D171" s="7" t="s">
        <v>28</v>
      </c>
      <c r="E171" s="4" t="s">
        <v>324</v>
      </c>
      <c r="F171" s="4" t="s">
        <v>46</v>
      </c>
      <c r="G171" s="6" t="s">
        <v>325</v>
      </c>
      <c r="H171" s="4" t="s">
        <v>326</v>
      </c>
      <c r="I171" s="4" t="s">
        <v>327</v>
      </c>
      <c r="J171" s="4" t="s">
        <v>856</v>
      </c>
      <c r="K171" s="4" t="s">
        <v>25</v>
      </c>
      <c r="L171" s="4" t="s">
        <v>25</v>
      </c>
      <c r="M171" s="3" t="s">
        <v>26</v>
      </c>
      <c r="N171" s="4"/>
      <c r="O171" s="4"/>
      <c r="P171" s="4"/>
    </row>
    <row r="172" spans="1:16" x14ac:dyDescent="0.35">
      <c r="A172" s="3">
        <v>171</v>
      </c>
      <c r="B172" s="4" t="s">
        <v>836</v>
      </c>
      <c r="C172" s="4" t="s">
        <v>857</v>
      </c>
      <c r="D172" s="7" t="s">
        <v>28</v>
      </c>
      <c r="E172" s="4" t="s">
        <v>858</v>
      </c>
      <c r="F172" s="4"/>
      <c r="G172" s="8"/>
      <c r="H172" s="4" t="s">
        <v>859</v>
      </c>
      <c r="I172" s="4" t="s">
        <v>860</v>
      </c>
      <c r="J172" s="4" t="s">
        <v>861</v>
      </c>
      <c r="K172" s="4" t="s">
        <v>25</v>
      </c>
      <c r="L172" s="4" t="s">
        <v>25</v>
      </c>
      <c r="M172" s="3" t="s">
        <v>26</v>
      </c>
      <c r="N172" s="4"/>
      <c r="O172" s="4"/>
      <c r="P172" s="4"/>
    </row>
    <row r="173" spans="1:16" x14ac:dyDescent="0.35">
      <c r="A173" s="3">
        <v>172</v>
      </c>
      <c r="B173" s="4" t="s">
        <v>836</v>
      </c>
      <c r="C173" s="4" t="s">
        <v>862</v>
      </c>
      <c r="D173" s="7" t="s">
        <v>28</v>
      </c>
      <c r="E173" s="4" t="s">
        <v>863</v>
      </c>
      <c r="F173" s="4" t="s">
        <v>46</v>
      </c>
      <c r="G173" s="6" t="s">
        <v>864</v>
      </c>
      <c r="H173" s="4" t="s">
        <v>865</v>
      </c>
      <c r="I173" s="4" t="s">
        <v>860</v>
      </c>
      <c r="J173" s="4" t="s">
        <v>866</v>
      </c>
      <c r="K173" s="4" t="s">
        <v>25</v>
      </c>
      <c r="L173" s="4" t="s">
        <v>25</v>
      </c>
      <c r="M173" s="3" t="s">
        <v>26</v>
      </c>
      <c r="N173" s="4"/>
      <c r="O173" s="4"/>
      <c r="P173" s="4"/>
    </row>
    <row r="174" spans="1:16" x14ac:dyDescent="0.35">
      <c r="A174" s="3">
        <v>173</v>
      </c>
      <c r="B174" s="4" t="s">
        <v>836</v>
      </c>
      <c r="C174" s="4" t="s">
        <v>867</v>
      </c>
      <c r="D174" s="9" t="s">
        <v>219</v>
      </c>
      <c r="E174" s="4" t="s">
        <v>868</v>
      </c>
      <c r="F174" s="4" t="s">
        <v>46</v>
      </c>
      <c r="G174" s="6" t="s">
        <v>869</v>
      </c>
      <c r="H174" s="4" t="s">
        <v>870</v>
      </c>
      <c r="I174" s="4" t="s">
        <v>871</v>
      </c>
      <c r="J174" s="4" t="s">
        <v>872</v>
      </c>
      <c r="K174" s="4" t="s">
        <v>25</v>
      </c>
      <c r="L174" s="4" t="s">
        <v>25</v>
      </c>
      <c r="M174" s="3" t="s">
        <v>26</v>
      </c>
      <c r="N174" s="4"/>
      <c r="O174" s="4"/>
      <c r="P174" s="4"/>
    </row>
    <row r="175" spans="1:16" x14ac:dyDescent="0.35">
      <c r="A175" s="3">
        <v>174</v>
      </c>
      <c r="B175" s="4" t="s">
        <v>836</v>
      </c>
      <c r="C175" s="4" t="s">
        <v>873</v>
      </c>
      <c r="D175" s="7" t="s">
        <v>28</v>
      </c>
      <c r="E175" s="4" t="s">
        <v>874</v>
      </c>
      <c r="F175" s="4" t="s">
        <v>46</v>
      </c>
      <c r="G175" s="6" t="s">
        <v>875</v>
      </c>
      <c r="H175" s="4" t="s">
        <v>876</v>
      </c>
      <c r="I175" s="4" t="s">
        <v>877</v>
      </c>
      <c r="J175" s="4" t="s">
        <v>878</v>
      </c>
      <c r="K175" s="4" t="s">
        <v>25</v>
      </c>
      <c r="L175" s="4" t="s">
        <v>25</v>
      </c>
      <c r="M175" s="3" t="s">
        <v>26</v>
      </c>
      <c r="N175" s="4"/>
      <c r="O175" s="4"/>
      <c r="P175" s="4"/>
    </row>
    <row r="176" spans="1:16" x14ac:dyDescent="0.35">
      <c r="A176" s="3">
        <v>175</v>
      </c>
      <c r="B176" s="4" t="s">
        <v>836</v>
      </c>
      <c r="C176" s="4" t="s">
        <v>879</v>
      </c>
      <c r="D176" s="7" t="s">
        <v>28</v>
      </c>
      <c r="E176" s="4" t="s">
        <v>880</v>
      </c>
      <c r="F176" s="4" t="s">
        <v>46</v>
      </c>
      <c r="G176" s="6" t="s">
        <v>881</v>
      </c>
      <c r="H176" s="4" t="s">
        <v>882</v>
      </c>
      <c r="I176" s="4" t="s">
        <v>883</v>
      </c>
      <c r="J176" s="4" t="s">
        <v>884</v>
      </c>
      <c r="K176" s="4" t="s">
        <v>25</v>
      </c>
      <c r="L176" s="4" t="s">
        <v>25</v>
      </c>
      <c r="M176" s="3" t="s">
        <v>26</v>
      </c>
      <c r="N176" s="4"/>
      <c r="O176" s="4"/>
      <c r="P176" s="4"/>
    </row>
    <row r="177" spans="1:16" x14ac:dyDescent="0.35">
      <c r="A177" s="3">
        <v>176</v>
      </c>
      <c r="B177" s="4" t="s">
        <v>885</v>
      </c>
      <c r="C177" s="4" t="s">
        <v>886</v>
      </c>
      <c r="D177" s="7" t="s">
        <v>28</v>
      </c>
      <c r="E177" s="4" t="s">
        <v>887</v>
      </c>
      <c r="F177" s="4" t="s">
        <v>20</v>
      </c>
      <c r="G177" s="6" t="s">
        <v>888</v>
      </c>
      <c r="H177" s="4" t="s">
        <v>889</v>
      </c>
      <c r="I177" s="4" t="s">
        <v>890</v>
      </c>
      <c r="J177" s="4" t="s">
        <v>891</v>
      </c>
      <c r="K177" s="4" t="s">
        <v>892</v>
      </c>
      <c r="L177" s="4" t="s">
        <v>892</v>
      </c>
      <c r="M177" s="3" t="s">
        <v>26</v>
      </c>
      <c r="N177" s="4"/>
      <c r="O177" s="4"/>
      <c r="P177" s="4"/>
    </row>
    <row r="178" spans="1:16" x14ac:dyDescent="0.35">
      <c r="A178" s="3">
        <v>177</v>
      </c>
      <c r="B178" s="4" t="s">
        <v>885</v>
      </c>
      <c r="C178" s="4" t="s">
        <v>893</v>
      </c>
      <c r="D178" s="7" t="s">
        <v>28</v>
      </c>
      <c r="E178" s="4" t="s">
        <v>894</v>
      </c>
      <c r="F178" s="4" t="s">
        <v>20</v>
      </c>
      <c r="G178" s="6" t="s">
        <v>888</v>
      </c>
      <c r="H178" s="4" t="s">
        <v>889</v>
      </c>
      <c r="I178" s="4" t="s">
        <v>895</v>
      </c>
      <c r="J178" s="4" t="s">
        <v>896</v>
      </c>
      <c r="K178" s="4" t="s">
        <v>892</v>
      </c>
      <c r="L178" s="4" t="s">
        <v>892</v>
      </c>
      <c r="M178" s="3" t="s">
        <v>26</v>
      </c>
      <c r="N178" s="4"/>
      <c r="O178" s="4"/>
      <c r="P178" s="4"/>
    </row>
    <row r="179" spans="1:16" x14ac:dyDescent="0.35">
      <c r="A179" s="3">
        <v>178</v>
      </c>
      <c r="B179" s="4" t="s">
        <v>885</v>
      </c>
      <c r="C179" s="4" t="s">
        <v>897</v>
      </c>
      <c r="D179" s="5" t="s">
        <v>18</v>
      </c>
      <c r="E179" s="4" t="s">
        <v>898</v>
      </c>
      <c r="F179" s="4" t="s">
        <v>20</v>
      </c>
      <c r="G179" s="6" t="s">
        <v>899</v>
      </c>
      <c r="H179" s="4" t="s">
        <v>900</v>
      </c>
      <c r="I179" s="4" t="s">
        <v>901</v>
      </c>
      <c r="J179" s="4" t="s">
        <v>902</v>
      </c>
      <c r="K179" s="4" t="s">
        <v>892</v>
      </c>
      <c r="L179" s="4" t="s">
        <v>892</v>
      </c>
      <c r="M179" s="3" t="s">
        <v>26</v>
      </c>
      <c r="N179" s="4"/>
      <c r="O179" s="4"/>
      <c r="P179" s="4"/>
    </row>
    <row r="180" spans="1:16" x14ac:dyDescent="0.35">
      <c r="A180" s="3">
        <v>179</v>
      </c>
      <c r="B180" s="4" t="s">
        <v>885</v>
      </c>
      <c r="C180" s="4" t="s">
        <v>903</v>
      </c>
      <c r="D180" s="5" t="s">
        <v>18</v>
      </c>
      <c r="E180" s="4" t="s">
        <v>904</v>
      </c>
      <c r="F180" s="4" t="s">
        <v>20</v>
      </c>
      <c r="G180" s="6" t="s">
        <v>905</v>
      </c>
      <c r="H180" s="4" t="s">
        <v>906</v>
      </c>
      <c r="I180" s="4" t="s">
        <v>907</v>
      </c>
      <c r="J180" s="4" t="s">
        <v>908</v>
      </c>
      <c r="K180" s="4" t="s">
        <v>892</v>
      </c>
      <c r="L180" s="4" t="s">
        <v>892</v>
      </c>
      <c r="M180" s="3" t="s">
        <v>26</v>
      </c>
      <c r="N180" s="4"/>
      <c r="O180" s="4"/>
      <c r="P180" s="4"/>
    </row>
    <row r="181" spans="1:16" x14ac:dyDescent="0.35">
      <c r="A181" s="3">
        <v>180</v>
      </c>
      <c r="B181" s="4" t="s">
        <v>885</v>
      </c>
      <c r="C181" s="4" t="s">
        <v>909</v>
      </c>
      <c r="D181" s="7" t="s">
        <v>28</v>
      </c>
      <c r="E181" s="4" t="s">
        <v>910</v>
      </c>
      <c r="F181" s="4" t="s">
        <v>20</v>
      </c>
      <c r="G181" s="6" t="s">
        <v>911</v>
      </c>
      <c r="H181" s="4" t="s">
        <v>912</v>
      </c>
      <c r="I181" s="4" t="s">
        <v>913</v>
      </c>
      <c r="J181" s="4" t="s">
        <v>914</v>
      </c>
      <c r="K181" s="4" t="s">
        <v>892</v>
      </c>
      <c r="L181" s="4" t="s">
        <v>892</v>
      </c>
      <c r="M181" s="3" t="s">
        <v>26</v>
      </c>
      <c r="N181" s="4"/>
      <c r="O181" s="4"/>
      <c r="P181" s="4"/>
    </row>
    <row r="182" spans="1:16" x14ac:dyDescent="0.35">
      <c r="A182" s="3">
        <v>181</v>
      </c>
      <c r="B182" s="4" t="s">
        <v>885</v>
      </c>
      <c r="C182" s="4" t="s">
        <v>915</v>
      </c>
      <c r="D182" s="7" t="s">
        <v>28</v>
      </c>
      <c r="E182" s="4" t="s">
        <v>916</v>
      </c>
      <c r="F182" s="4" t="s">
        <v>46</v>
      </c>
      <c r="G182" s="6" t="s">
        <v>917</v>
      </c>
      <c r="H182" s="4" t="s">
        <v>918</v>
      </c>
      <c r="I182" s="4" t="s">
        <v>69</v>
      </c>
      <c r="J182" s="4" t="s">
        <v>919</v>
      </c>
      <c r="K182" s="4" t="s">
        <v>892</v>
      </c>
      <c r="L182" s="4" t="s">
        <v>892</v>
      </c>
      <c r="M182" s="3" t="s">
        <v>26</v>
      </c>
      <c r="N182" s="4"/>
      <c r="O182" s="4"/>
      <c r="P182" s="4"/>
    </row>
    <row r="183" spans="1:16" x14ac:dyDescent="0.35">
      <c r="A183" s="3">
        <v>182</v>
      </c>
      <c r="B183" s="4" t="s">
        <v>885</v>
      </c>
      <c r="C183" s="4" t="s">
        <v>920</v>
      </c>
      <c r="D183" s="7" t="s">
        <v>28</v>
      </c>
      <c r="E183" s="4" t="s">
        <v>921</v>
      </c>
      <c r="F183" s="4" t="s">
        <v>46</v>
      </c>
      <c r="G183" s="6" t="s">
        <v>922</v>
      </c>
      <c r="H183" s="4" t="s">
        <v>923</v>
      </c>
      <c r="I183" s="4" t="s">
        <v>924</v>
      </c>
      <c r="J183" s="4" t="s">
        <v>925</v>
      </c>
      <c r="K183" s="4" t="s">
        <v>892</v>
      </c>
      <c r="L183" s="4" t="s">
        <v>892</v>
      </c>
      <c r="M183" s="3" t="s">
        <v>26</v>
      </c>
      <c r="N183" s="4"/>
      <c r="O183" s="4"/>
      <c r="P183" s="4"/>
    </row>
    <row r="184" spans="1:16" x14ac:dyDescent="0.35">
      <c r="A184" s="3">
        <v>183</v>
      </c>
      <c r="B184" s="4" t="s">
        <v>885</v>
      </c>
      <c r="C184" s="4" t="s">
        <v>926</v>
      </c>
      <c r="D184" s="7" t="s">
        <v>28</v>
      </c>
      <c r="E184" s="4" t="s">
        <v>927</v>
      </c>
      <c r="F184" s="4" t="s">
        <v>46</v>
      </c>
      <c r="G184" s="6" t="s">
        <v>928</v>
      </c>
      <c r="H184" s="4" t="s">
        <v>929</v>
      </c>
      <c r="I184" s="4" t="s">
        <v>37</v>
      </c>
      <c r="J184" s="4" t="s">
        <v>930</v>
      </c>
      <c r="K184" s="4" t="s">
        <v>892</v>
      </c>
      <c r="L184" s="4" t="s">
        <v>892</v>
      </c>
      <c r="M184" s="3" t="s">
        <v>26</v>
      </c>
      <c r="N184" s="4"/>
      <c r="O184" s="4"/>
      <c r="P184" s="4"/>
    </row>
    <row r="185" spans="1:16" x14ac:dyDescent="0.35">
      <c r="A185" s="3">
        <v>184</v>
      </c>
      <c r="B185" s="4" t="s">
        <v>885</v>
      </c>
      <c r="C185" s="4" t="s">
        <v>931</v>
      </c>
      <c r="D185" s="7" t="s">
        <v>28</v>
      </c>
      <c r="E185" s="4" t="s">
        <v>932</v>
      </c>
      <c r="F185" s="4" t="s">
        <v>20</v>
      </c>
      <c r="G185" s="6" t="s">
        <v>933</v>
      </c>
      <c r="H185" s="4" t="s">
        <v>934</v>
      </c>
      <c r="I185" s="4" t="s">
        <v>37</v>
      </c>
      <c r="J185" s="4" t="s">
        <v>935</v>
      </c>
      <c r="K185" s="4" t="s">
        <v>892</v>
      </c>
      <c r="L185" s="4" t="s">
        <v>892</v>
      </c>
      <c r="M185" s="3" t="s">
        <v>26</v>
      </c>
      <c r="N185" s="4"/>
      <c r="O185" s="4"/>
      <c r="P185" s="4"/>
    </row>
    <row r="186" spans="1:16" x14ac:dyDescent="0.35">
      <c r="A186" s="3">
        <v>185</v>
      </c>
      <c r="B186" s="4" t="s">
        <v>885</v>
      </c>
      <c r="C186" s="4" t="s">
        <v>936</v>
      </c>
      <c r="D186" s="7" t="s">
        <v>28</v>
      </c>
      <c r="E186" s="4" t="s">
        <v>937</v>
      </c>
      <c r="F186" s="4" t="s">
        <v>20</v>
      </c>
      <c r="G186" s="6" t="s">
        <v>938</v>
      </c>
      <c r="H186" s="4" t="s">
        <v>939</v>
      </c>
      <c r="I186" s="4" t="s">
        <v>940</v>
      </c>
      <c r="J186" s="4" t="s">
        <v>941</v>
      </c>
      <c r="K186" s="4" t="s">
        <v>892</v>
      </c>
      <c r="L186" s="4" t="s">
        <v>892</v>
      </c>
      <c r="M186" s="3" t="s">
        <v>26</v>
      </c>
      <c r="N186" s="4"/>
      <c r="O186" s="4"/>
      <c r="P186" s="4"/>
    </row>
    <row r="187" spans="1:16" x14ac:dyDescent="0.35">
      <c r="A187" s="3">
        <v>186</v>
      </c>
      <c r="B187" s="4" t="s">
        <v>885</v>
      </c>
      <c r="C187" s="4" t="s">
        <v>942</v>
      </c>
      <c r="D187" s="7" t="s">
        <v>28</v>
      </c>
      <c r="E187" s="4" t="s">
        <v>943</v>
      </c>
      <c r="F187" s="4" t="s">
        <v>20</v>
      </c>
      <c r="G187" s="6" t="s">
        <v>938</v>
      </c>
      <c r="H187" s="4" t="s">
        <v>944</v>
      </c>
      <c r="I187" s="4" t="s">
        <v>940</v>
      </c>
      <c r="J187" s="4" t="s">
        <v>945</v>
      </c>
      <c r="K187" s="4" t="s">
        <v>892</v>
      </c>
      <c r="L187" s="4" t="s">
        <v>892</v>
      </c>
      <c r="M187" s="3" t="s">
        <v>26</v>
      </c>
      <c r="N187" s="4"/>
      <c r="O187" s="4"/>
      <c r="P187" s="4"/>
    </row>
    <row r="188" spans="1:16" x14ac:dyDescent="0.35">
      <c r="A188" s="3">
        <v>187</v>
      </c>
      <c r="B188" s="4" t="s">
        <v>885</v>
      </c>
      <c r="C188" s="4" t="s">
        <v>946</v>
      </c>
      <c r="D188" s="7" t="s">
        <v>28</v>
      </c>
      <c r="E188" s="4" t="s">
        <v>947</v>
      </c>
      <c r="F188" s="4" t="s">
        <v>46</v>
      </c>
      <c r="G188" s="6" t="s">
        <v>948</v>
      </c>
      <c r="H188" s="4" t="s">
        <v>949</v>
      </c>
      <c r="I188" s="4" t="s">
        <v>37</v>
      </c>
      <c r="J188" s="4" t="s">
        <v>950</v>
      </c>
      <c r="K188" s="4" t="s">
        <v>892</v>
      </c>
      <c r="L188" s="4" t="s">
        <v>892</v>
      </c>
      <c r="M188" s="3" t="s">
        <v>26</v>
      </c>
      <c r="N188" s="4"/>
      <c r="O188" s="4"/>
      <c r="P188" s="4"/>
    </row>
    <row r="189" spans="1:16" x14ac:dyDescent="0.35">
      <c r="A189" s="3">
        <v>188</v>
      </c>
      <c r="B189" s="4" t="s">
        <v>885</v>
      </c>
      <c r="C189" s="4" t="s">
        <v>951</v>
      </c>
      <c r="D189" s="7" t="s">
        <v>28</v>
      </c>
      <c r="E189" s="4" t="s">
        <v>952</v>
      </c>
      <c r="F189" s="4" t="s">
        <v>46</v>
      </c>
      <c r="G189" s="6" t="s">
        <v>953</v>
      </c>
      <c r="H189" s="4" t="s">
        <v>954</v>
      </c>
      <c r="I189" s="4" t="s">
        <v>955</v>
      </c>
      <c r="J189" s="4" t="s">
        <v>956</v>
      </c>
      <c r="K189" s="4" t="s">
        <v>892</v>
      </c>
      <c r="L189" s="4" t="s">
        <v>892</v>
      </c>
      <c r="M189" s="3" t="s">
        <v>26</v>
      </c>
      <c r="N189" s="4"/>
      <c r="O189" s="4"/>
      <c r="P189" s="4"/>
    </row>
    <row r="190" spans="1:16" x14ac:dyDescent="0.35">
      <c r="A190" s="3">
        <v>189</v>
      </c>
      <c r="B190" s="4" t="s">
        <v>885</v>
      </c>
      <c r="C190" s="4" t="s">
        <v>957</v>
      </c>
      <c r="D190" s="9" t="s">
        <v>219</v>
      </c>
      <c r="E190" s="4" t="s">
        <v>958</v>
      </c>
      <c r="F190" s="4" t="s">
        <v>46</v>
      </c>
      <c r="G190" s="6" t="s">
        <v>959</v>
      </c>
      <c r="H190" s="4" t="s">
        <v>960</v>
      </c>
      <c r="I190" s="4" t="s">
        <v>961</v>
      </c>
      <c r="J190" s="4" t="s">
        <v>962</v>
      </c>
      <c r="K190" s="4" t="s">
        <v>892</v>
      </c>
      <c r="L190" s="4" t="s">
        <v>892</v>
      </c>
      <c r="M190" s="3" t="s">
        <v>26</v>
      </c>
      <c r="N190" s="4"/>
      <c r="O190" s="4"/>
      <c r="P190" s="4"/>
    </row>
    <row r="191" spans="1:16" x14ac:dyDescent="0.35">
      <c r="A191" s="3">
        <v>190</v>
      </c>
      <c r="B191" s="4" t="s">
        <v>885</v>
      </c>
      <c r="C191" s="4" t="s">
        <v>963</v>
      </c>
      <c r="D191" s="9" t="s">
        <v>219</v>
      </c>
      <c r="E191" s="4" t="s">
        <v>964</v>
      </c>
      <c r="F191" s="4" t="s">
        <v>20</v>
      </c>
      <c r="G191" s="6" t="s">
        <v>965</v>
      </c>
      <c r="H191" s="4" t="s">
        <v>966</v>
      </c>
      <c r="I191" s="4" t="s">
        <v>967</v>
      </c>
      <c r="J191" s="4" t="s">
        <v>968</v>
      </c>
      <c r="K191" s="4" t="s">
        <v>892</v>
      </c>
      <c r="L191" s="4" t="s">
        <v>892</v>
      </c>
      <c r="M191" s="3" t="s">
        <v>26</v>
      </c>
      <c r="N191" s="4"/>
      <c r="O191" s="4"/>
      <c r="P191" s="4"/>
    </row>
    <row r="192" spans="1:16" x14ac:dyDescent="0.35">
      <c r="A192" s="3">
        <v>191</v>
      </c>
      <c r="B192" s="4" t="s">
        <v>885</v>
      </c>
      <c r="C192" s="4" t="s">
        <v>969</v>
      </c>
      <c r="D192" s="9" t="s">
        <v>219</v>
      </c>
      <c r="E192" s="4" t="s">
        <v>970</v>
      </c>
      <c r="F192" s="4" t="s">
        <v>20</v>
      </c>
      <c r="G192" s="6" t="s">
        <v>971</v>
      </c>
      <c r="H192" s="4" t="s">
        <v>972</v>
      </c>
      <c r="I192" s="4" t="s">
        <v>973</v>
      </c>
      <c r="J192" s="4" t="s">
        <v>974</v>
      </c>
      <c r="K192" s="4" t="s">
        <v>892</v>
      </c>
      <c r="L192" s="4" t="s">
        <v>892</v>
      </c>
      <c r="M192" s="3" t="s">
        <v>26</v>
      </c>
      <c r="N192" s="4"/>
      <c r="O192" s="4"/>
      <c r="P192" s="4"/>
    </row>
    <row r="193" spans="1:16" x14ac:dyDescent="0.35">
      <c r="A193" s="3">
        <v>192</v>
      </c>
      <c r="B193" s="4" t="s">
        <v>885</v>
      </c>
      <c r="C193" s="4" t="s">
        <v>975</v>
      </c>
      <c r="D193" s="7" t="s">
        <v>28</v>
      </c>
      <c r="E193" s="4" t="s">
        <v>976</v>
      </c>
      <c r="F193" s="4" t="s">
        <v>20</v>
      </c>
      <c r="G193" s="6" t="s">
        <v>977</v>
      </c>
      <c r="H193" s="4" t="s">
        <v>978</v>
      </c>
      <c r="I193" s="4" t="s">
        <v>979</v>
      </c>
      <c r="J193" s="4" t="s">
        <v>980</v>
      </c>
      <c r="K193" s="4" t="s">
        <v>892</v>
      </c>
      <c r="L193" s="4" t="s">
        <v>892</v>
      </c>
      <c r="M193" s="3" t="s">
        <v>26</v>
      </c>
      <c r="N193" s="4"/>
      <c r="O193" s="4"/>
      <c r="P193" s="4"/>
    </row>
    <row r="194" spans="1:16" x14ac:dyDescent="0.35">
      <c r="A194" s="3">
        <v>193</v>
      </c>
      <c r="B194" s="4" t="s">
        <v>885</v>
      </c>
      <c r="C194" s="4" t="s">
        <v>981</v>
      </c>
      <c r="D194" s="9" t="s">
        <v>219</v>
      </c>
      <c r="E194" s="4" t="s">
        <v>982</v>
      </c>
      <c r="F194" s="4" t="s">
        <v>20</v>
      </c>
      <c r="G194" s="6" t="s">
        <v>977</v>
      </c>
      <c r="H194" s="4" t="s">
        <v>983</v>
      </c>
      <c r="I194" s="4" t="s">
        <v>984</v>
      </c>
      <c r="J194" s="4" t="s">
        <v>985</v>
      </c>
      <c r="K194" s="4" t="s">
        <v>892</v>
      </c>
      <c r="L194" s="4" t="s">
        <v>892</v>
      </c>
      <c r="M194" s="3" t="s">
        <v>26</v>
      </c>
      <c r="N194" s="4"/>
      <c r="O194" s="4"/>
      <c r="P194" s="4"/>
    </row>
    <row r="195" spans="1:16" x14ac:dyDescent="0.35">
      <c r="A195" s="3">
        <v>194</v>
      </c>
      <c r="B195" s="4" t="s">
        <v>885</v>
      </c>
      <c r="C195" s="4" t="s">
        <v>986</v>
      </c>
      <c r="D195" s="9" t="s">
        <v>219</v>
      </c>
      <c r="E195" s="4" t="s">
        <v>987</v>
      </c>
      <c r="F195" s="4" t="s">
        <v>46</v>
      </c>
      <c r="G195" s="6" t="s">
        <v>988</v>
      </c>
      <c r="H195" s="4" t="s">
        <v>983</v>
      </c>
      <c r="I195" s="4" t="s">
        <v>984</v>
      </c>
      <c r="J195" s="4" t="s">
        <v>989</v>
      </c>
      <c r="K195" s="4" t="s">
        <v>892</v>
      </c>
      <c r="L195" s="4" t="s">
        <v>892</v>
      </c>
      <c r="M195" s="3" t="s">
        <v>26</v>
      </c>
      <c r="N195" s="4"/>
      <c r="O195" s="4"/>
      <c r="P195" s="4"/>
    </row>
    <row r="196" spans="1:16" x14ac:dyDescent="0.35">
      <c r="A196" s="3">
        <v>195</v>
      </c>
      <c r="B196" s="4" t="s">
        <v>885</v>
      </c>
      <c r="C196" s="4" t="s">
        <v>990</v>
      </c>
      <c r="D196" s="7" t="s">
        <v>28</v>
      </c>
      <c r="E196" s="4" t="s">
        <v>991</v>
      </c>
      <c r="F196" s="4" t="s">
        <v>46</v>
      </c>
      <c r="G196" s="6" t="s">
        <v>992</v>
      </c>
      <c r="H196" s="4" t="s">
        <v>993</v>
      </c>
      <c r="I196" s="4" t="s">
        <v>103</v>
      </c>
      <c r="J196" s="4" t="s">
        <v>994</v>
      </c>
      <c r="K196" s="4" t="s">
        <v>892</v>
      </c>
      <c r="L196" s="4" t="s">
        <v>892</v>
      </c>
      <c r="M196" s="3" t="s">
        <v>26</v>
      </c>
      <c r="N196" s="4"/>
      <c r="O196" s="4"/>
      <c r="P196" s="4"/>
    </row>
    <row r="197" spans="1:16" x14ac:dyDescent="0.35">
      <c r="A197" s="3">
        <v>196</v>
      </c>
      <c r="B197" s="4" t="s">
        <v>995</v>
      </c>
      <c r="C197" s="4" t="s">
        <v>996</v>
      </c>
      <c r="D197" s="5" t="s">
        <v>18</v>
      </c>
      <c r="E197" s="4" t="s">
        <v>997</v>
      </c>
      <c r="F197" s="4" t="s">
        <v>46</v>
      </c>
      <c r="G197" s="6" t="s">
        <v>998</v>
      </c>
      <c r="H197" s="4" t="s">
        <v>999</v>
      </c>
      <c r="I197" s="4" t="s">
        <v>1000</v>
      </c>
      <c r="J197" s="4" t="s">
        <v>1001</v>
      </c>
      <c r="K197" s="4" t="s">
        <v>1002</v>
      </c>
      <c r="L197" s="4" t="s">
        <v>25</v>
      </c>
      <c r="M197" s="3" t="s">
        <v>26</v>
      </c>
      <c r="N197" s="4"/>
      <c r="O197" s="4"/>
      <c r="P197" s="4"/>
    </row>
    <row r="198" spans="1:16" x14ac:dyDescent="0.35">
      <c r="A198" s="3">
        <v>197</v>
      </c>
      <c r="B198" s="4" t="s">
        <v>995</v>
      </c>
      <c r="C198" s="4" t="s">
        <v>1003</v>
      </c>
      <c r="D198" s="5" t="s">
        <v>18</v>
      </c>
      <c r="E198" s="4" t="s">
        <v>1004</v>
      </c>
      <c r="F198" s="4"/>
      <c r="G198" s="8"/>
      <c r="H198" s="4" t="s">
        <v>1005</v>
      </c>
      <c r="I198" s="4" t="s">
        <v>440</v>
      </c>
      <c r="J198" s="4" t="s">
        <v>1006</v>
      </c>
      <c r="K198" s="4" t="s">
        <v>1002</v>
      </c>
      <c r="L198" s="4" t="s">
        <v>25</v>
      </c>
      <c r="M198" s="3" t="s">
        <v>26</v>
      </c>
      <c r="N198" s="4"/>
      <c r="O198" s="4"/>
      <c r="P198" s="4"/>
    </row>
    <row r="199" spans="1:16" x14ac:dyDescent="0.35">
      <c r="A199" s="3">
        <v>198</v>
      </c>
      <c r="B199" s="4" t="s">
        <v>995</v>
      </c>
      <c r="C199" s="4" t="s">
        <v>1007</v>
      </c>
      <c r="D199" s="7" t="s">
        <v>28</v>
      </c>
      <c r="E199" s="4" t="s">
        <v>1008</v>
      </c>
      <c r="F199" s="4" t="s">
        <v>46</v>
      </c>
      <c r="G199" s="6" t="s">
        <v>1009</v>
      </c>
      <c r="H199" s="4" t="s">
        <v>1010</v>
      </c>
      <c r="I199" s="4" t="s">
        <v>37</v>
      </c>
      <c r="J199" s="4" t="s">
        <v>1011</v>
      </c>
      <c r="K199" s="4" t="s">
        <v>1002</v>
      </c>
      <c r="L199" s="4" t="s">
        <v>25</v>
      </c>
      <c r="M199" s="3" t="s">
        <v>26</v>
      </c>
      <c r="N199" s="4"/>
      <c r="O199" s="4"/>
      <c r="P199" s="4"/>
    </row>
    <row r="200" spans="1:16" x14ac:dyDescent="0.35">
      <c r="A200" s="3">
        <v>199</v>
      </c>
      <c r="B200" s="4" t="s">
        <v>995</v>
      </c>
      <c r="C200" s="4" t="s">
        <v>1012</v>
      </c>
      <c r="D200" s="7" t="s">
        <v>28</v>
      </c>
      <c r="E200" s="4" t="s">
        <v>1013</v>
      </c>
      <c r="F200" s="4" t="s">
        <v>46</v>
      </c>
      <c r="G200" s="6" t="s">
        <v>1014</v>
      </c>
      <c r="H200" s="4" t="s">
        <v>1015</v>
      </c>
      <c r="I200" s="4" t="s">
        <v>37</v>
      </c>
      <c r="J200" s="4" t="s">
        <v>1016</v>
      </c>
      <c r="K200" s="4" t="s">
        <v>1002</v>
      </c>
      <c r="L200" s="4" t="s">
        <v>25</v>
      </c>
      <c r="M200" s="3" t="s">
        <v>26</v>
      </c>
      <c r="N200" s="4"/>
      <c r="O200" s="4"/>
      <c r="P200" s="4"/>
    </row>
    <row r="201" spans="1:16" x14ac:dyDescent="0.35">
      <c r="A201" s="3">
        <v>200</v>
      </c>
      <c r="B201" s="4" t="s">
        <v>995</v>
      </c>
      <c r="C201" s="4" t="s">
        <v>1017</v>
      </c>
      <c r="D201" s="7" t="s">
        <v>28</v>
      </c>
      <c r="E201" s="4" t="s">
        <v>1018</v>
      </c>
      <c r="F201" s="4" t="s">
        <v>46</v>
      </c>
      <c r="G201" s="6" t="s">
        <v>1019</v>
      </c>
      <c r="H201" s="4" t="s">
        <v>1015</v>
      </c>
      <c r="I201" s="4" t="s">
        <v>1020</v>
      </c>
      <c r="J201" s="4" t="s">
        <v>1021</v>
      </c>
      <c r="K201" s="4" t="s">
        <v>1002</v>
      </c>
      <c r="L201" s="4" t="s">
        <v>25</v>
      </c>
      <c r="M201" s="3" t="s">
        <v>26</v>
      </c>
      <c r="N201" s="4"/>
      <c r="O201" s="4"/>
      <c r="P201" s="4"/>
    </row>
    <row r="202" spans="1:16" x14ac:dyDescent="0.35">
      <c r="A202" s="3">
        <v>201</v>
      </c>
      <c r="B202" s="4" t="s">
        <v>995</v>
      </c>
      <c r="C202" s="4" t="s">
        <v>1022</v>
      </c>
      <c r="D202" s="7" t="s">
        <v>28</v>
      </c>
      <c r="E202" s="4" t="s">
        <v>1023</v>
      </c>
      <c r="F202" s="4" t="s">
        <v>20</v>
      </c>
      <c r="G202" s="6" t="s">
        <v>1024</v>
      </c>
      <c r="H202" s="4" t="s">
        <v>1025</v>
      </c>
      <c r="I202" s="4" t="s">
        <v>69</v>
      </c>
      <c r="J202" s="4" t="s">
        <v>1026</v>
      </c>
      <c r="K202" s="4" t="s">
        <v>1002</v>
      </c>
      <c r="L202" s="4" t="s">
        <v>25</v>
      </c>
      <c r="M202" s="3" t="s">
        <v>26</v>
      </c>
      <c r="N202" s="4"/>
      <c r="O202" s="4"/>
      <c r="P202" s="4"/>
    </row>
    <row r="203" spans="1:16" x14ac:dyDescent="0.35">
      <c r="A203" s="3">
        <v>202</v>
      </c>
      <c r="B203" s="4" t="s">
        <v>995</v>
      </c>
      <c r="C203" s="4" t="s">
        <v>1027</v>
      </c>
      <c r="D203" s="7" t="s">
        <v>28</v>
      </c>
      <c r="E203" s="4" t="s">
        <v>1028</v>
      </c>
      <c r="F203" s="4" t="s">
        <v>20</v>
      </c>
      <c r="G203" s="6" t="s">
        <v>1029</v>
      </c>
      <c r="H203" s="4" t="s">
        <v>1030</v>
      </c>
      <c r="I203" s="4" t="s">
        <v>1031</v>
      </c>
      <c r="J203" s="4" t="s">
        <v>1032</v>
      </c>
      <c r="K203" s="4" t="s">
        <v>1002</v>
      </c>
      <c r="L203" s="4" t="s">
        <v>25</v>
      </c>
      <c r="M203" s="3" t="s">
        <v>26</v>
      </c>
      <c r="N203" s="4"/>
      <c r="O203" s="4"/>
      <c r="P203" s="4"/>
    </row>
    <row r="204" spans="1:16" x14ac:dyDescent="0.35">
      <c r="A204" s="3">
        <v>203</v>
      </c>
      <c r="B204" s="4" t="s">
        <v>995</v>
      </c>
      <c r="C204" s="4" t="s">
        <v>1033</v>
      </c>
      <c r="D204" s="7" t="s">
        <v>28</v>
      </c>
      <c r="E204" s="4" t="s">
        <v>1034</v>
      </c>
      <c r="F204" s="4" t="s">
        <v>20</v>
      </c>
      <c r="G204" s="6" t="s">
        <v>1035</v>
      </c>
      <c r="H204" s="4" t="s">
        <v>1036</v>
      </c>
      <c r="I204" s="4" t="s">
        <v>1037</v>
      </c>
      <c r="J204" s="4" t="s">
        <v>1038</v>
      </c>
      <c r="K204" s="4" t="s">
        <v>1002</v>
      </c>
      <c r="L204" s="4" t="s">
        <v>25</v>
      </c>
      <c r="M204" s="3" t="s">
        <v>26</v>
      </c>
      <c r="N204" s="4"/>
      <c r="O204" s="4"/>
      <c r="P204" s="4"/>
    </row>
    <row r="205" spans="1:16" x14ac:dyDescent="0.35">
      <c r="A205" s="3">
        <v>204</v>
      </c>
      <c r="B205" s="4" t="s">
        <v>995</v>
      </c>
      <c r="C205" s="4" t="s">
        <v>1039</v>
      </c>
      <c r="D205" s="7" t="s">
        <v>28</v>
      </c>
      <c r="E205" s="4" t="s">
        <v>1040</v>
      </c>
      <c r="F205" s="4" t="s">
        <v>20</v>
      </c>
      <c r="G205" s="6" t="s">
        <v>1041</v>
      </c>
      <c r="H205" s="4" t="s">
        <v>1042</v>
      </c>
      <c r="I205" s="4" t="s">
        <v>1043</v>
      </c>
      <c r="J205" s="4" t="s">
        <v>1044</v>
      </c>
      <c r="K205" s="4" t="s">
        <v>1002</v>
      </c>
      <c r="L205" s="4" t="s">
        <v>25</v>
      </c>
      <c r="M205" s="3" t="s">
        <v>26</v>
      </c>
      <c r="N205" s="4"/>
      <c r="O205" s="4"/>
      <c r="P205" s="4"/>
    </row>
    <row r="206" spans="1:16" x14ac:dyDescent="0.35">
      <c r="A206" s="3">
        <v>205</v>
      </c>
      <c r="B206" s="4" t="s">
        <v>995</v>
      </c>
      <c r="C206" s="4" t="s">
        <v>1045</v>
      </c>
      <c r="D206" s="7" t="s">
        <v>28</v>
      </c>
      <c r="E206" s="4" t="s">
        <v>1046</v>
      </c>
      <c r="F206" s="4" t="s">
        <v>46</v>
      </c>
      <c r="G206" s="6" t="s">
        <v>1047</v>
      </c>
      <c r="H206" s="4" t="s">
        <v>1048</v>
      </c>
      <c r="I206" s="4" t="s">
        <v>69</v>
      </c>
      <c r="J206" s="4" t="s">
        <v>1049</v>
      </c>
      <c r="K206" s="4" t="s">
        <v>1002</v>
      </c>
      <c r="L206" s="4" t="s">
        <v>25</v>
      </c>
      <c r="M206" s="3" t="s">
        <v>26</v>
      </c>
      <c r="N206" s="4"/>
      <c r="O206" s="4"/>
      <c r="P206" s="4"/>
    </row>
    <row r="207" spans="1:16" x14ac:dyDescent="0.35">
      <c r="A207" s="3">
        <v>206</v>
      </c>
      <c r="B207" s="4" t="s">
        <v>1050</v>
      </c>
      <c r="C207" s="4" t="s">
        <v>1051</v>
      </c>
      <c r="D207" s="7" t="s">
        <v>28</v>
      </c>
      <c r="E207" s="4" t="s">
        <v>1052</v>
      </c>
      <c r="F207" s="4" t="s">
        <v>20</v>
      </c>
      <c r="G207" s="6" t="s">
        <v>1053</v>
      </c>
      <c r="H207" s="4" t="s">
        <v>1054</v>
      </c>
      <c r="I207" s="4" t="s">
        <v>1055</v>
      </c>
      <c r="J207" s="4" t="s">
        <v>1056</v>
      </c>
      <c r="K207" s="4" t="s">
        <v>1057</v>
      </c>
      <c r="L207" s="4" t="s">
        <v>25</v>
      </c>
      <c r="M207" s="3" t="s">
        <v>26</v>
      </c>
      <c r="N207" s="4"/>
      <c r="O207" s="4"/>
      <c r="P207" s="4"/>
    </row>
    <row r="208" spans="1:16" x14ac:dyDescent="0.35">
      <c r="A208" s="3">
        <v>207</v>
      </c>
      <c r="B208" s="4" t="s">
        <v>1050</v>
      </c>
      <c r="C208" s="4" t="s">
        <v>1058</v>
      </c>
      <c r="D208" s="5" t="s">
        <v>18</v>
      </c>
      <c r="E208" s="4" t="s">
        <v>1059</v>
      </c>
      <c r="F208" s="4" t="s">
        <v>46</v>
      </c>
      <c r="G208" s="6" t="s">
        <v>1060</v>
      </c>
      <c r="H208" s="4" t="s">
        <v>664</v>
      </c>
      <c r="I208" s="4" t="s">
        <v>665</v>
      </c>
      <c r="J208" s="4" t="s">
        <v>1061</v>
      </c>
      <c r="K208" s="4" t="s">
        <v>1057</v>
      </c>
      <c r="L208" s="4" t="s">
        <v>25</v>
      </c>
      <c r="M208" s="3" t="s">
        <v>26</v>
      </c>
      <c r="N208" s="4"/>
      <c r="O208" s="4"/>
      <c r="P208" s="4"/>
    </row>
    <row r="209" spans="1:16" x14ac:dyDescent="0.35">
      <c r="A209" s="3">
        <v>208</v>
      </c>
      <c r="B209" s="4" t="s">
        <v>1050</v>
      </c>
      <c r="C209" s="4" t="s">
        <v>1062</v>
      </c>
      <c r="D209" s="7" t="s">
        <v>28</v>
      </c>
      <c r="E209" s="4" t="s">
        <v>1063</v>
      </c>
      <c r="F209" s="4" t="s">
        <v>46</v>
      </c>
      <c r="G209" s="6" t="s">
        <v>1064</v>
      </c>
      <c r="H209" s="4" t="s">
        <v>655</v>
      </c>
      <c r="I209" s="4" t="s">
        <v>883</v>
      </c>
      <c r="J209" s="4" t="s">
        <v>1065</v>
      </c>
      <c r="K209" s="4" t="s">
        <v>1057</v>
      </c>
      <c r="L209" s="4" t="s">
        <v>25</v>
      </c>
      <c r="M209" s="3" t="s">
        <v>26</v>
      </c>
      <c r="N209" s="4"/>
      <c r="O209" s="4"/>
      <c r="P209" s="4"/>
    </row>
    <row r="210" spans="1:16" x14ac:dyDescent="0.35">
      <c r="A210" s="3">
        <v>209</v>
      </c>
      <c r="B210" s="4" t="s">
        <v>1050</v>
      </c>
      <c r="C210" s="4" t="s">
        <v>1066</v>
      </c>
      <c r="D210" s="7" t="s">
        <v>28</v>
      </c>
      <c r="E210" s="4" t="s">
        <v>1067</v>
      </c>
      <c r="F210" s="4" t="s">
        <v>46</v>
      </c>
      <c r="G210" s="6" t="s">
        <v>1068</v>
      </c>
      <c r="H210" s="4" t="s">
        <v>1069</v>
      </c>
      <c r="I210" s="4" t="s">
        <v>1070</v>
      </c>
      <c r="J210" s="4" t="s">
        <v>1071</v>
      </c>
      <c r="K210" s="4" t="s">
        <v>1057</v>
      </c>
      <c r="L210" s="4" t="s">
        <v>25</v>
      </c>
      <c r="M210" s="3" t="s">
        <v>26</v>
      </c>
      <c r="N210" s="4"/>
      <c r="O210" s="4"/>
      <c r="P210" s="4"/>
    </row>
    <row r="211" spans="1:16" x14ac:dyDescent="0.35">
      <c r="A211" s="3">
        <v>210</v>
      </c>
      <c r="B211" s="4" t="s">
        <v>1050</v>
      </c>
      <c r="C211" s="4" t="s">
        <v>1072</v>
      </c>
      <c r="D211" s="7" t="s">
        <v>28</v>
      </c>
      <c r="E211" s="4" t="s">
        <v>1073</v>
      </c>
      <c r="F211" s="4" t="s">
        <v>46</v>
      </c>
      <c r="G211" s="6" t="s">
        <v>1068</v>
      </c>
      <c r="H211" s="4" t="s">
        <v>1074</v>
      </c>
      <c r="I211" s="4" t="s">
        <v>1075</v>
      </c>
      <c r="J211" s="4" t="s">
        <v>1076</v>
      </c>
      <c r="K211" s="4" t="s">
        <v>1057</v>
      </c>
      <c r="L211" s="4" t="s">
        <v>25</v>
      </c>
      <c r="M211" s="3" t="s">
        <v>26</v>
      </c>
      <c r="N211" s="4"/>
      <c r="O211" s="4"/>
      <c r="P211" s="4"/>
    </row>
    <row r="212" spans="1:16" x14ac:dyDescent="0.35">
      <c r="A212" s="3">
        <v>211</v>
      </c>
      <c r="B212" s="4" t="s">
        <v>1050</v>
      </c>
      <c r="C212" s="4" t="s">
        <v>1077</v>
      </c>
      <c r="D212" s="7" t="s">
        <v>28</v>
      </c>
      <c r="E212" s="4" t="s">
        <v>1078</v>
      </c>
      <c r="F212" s="4" t="s">
        <v>46</v>
      </c>
      <c r="G212" s="6" t="s">
        <v>1079</v>
      </c>
      <c r="H212" s="4" t="s">
        <v>1074</v>
      </c>
      <c r="I212" s="4" t="s">
        <v>1075</v>
      </c>
      <c r="J212" s="4" t="s">
        <v>1080</v>
      </c>
      <c r="K212" s="4" t="s">
        <v>1057</v>
      </c>
      <c r="L212" s="4" t="s">
        <v>25</v>
      </c>
      <c r="M212" s="3" t="s">
        <v>26</v>
      </c>
      <c r="N212" s="4"/>
      <c r="O212" s="4"/>
      <c r="P212" s="4"/>
    </row>
    <row r="213" spans="1:16" x14ac:dyDescent="0.35">
      <c r="A213" s="3">
        <v>212</v>
      </c>
      <c r="B213" s="4" t="s">
        <v>1050</v>
      </c>
      <c r="C213" s="4" t="s">
        <v>1081</v>
      </c>
      <c r="D213" s="7" t="s">
        <v>28</v>
      </c>
      <c r="E213" s="4" t="s">
        <v>1082</v>
      </c>
      <c r="F213" s="4" t="s">
        <v>46</v>
      </c>
      <c r="G213" s="6" t="s">
        <v>1083</v>
      </c>
      <c r="H213" s="4" t="s">
        <v>1084</v>
      </c>
      <c r="I213" s="4" t="s">
        <v>69</v>
      </c>
      <c r="J213" s="4" t="s">
        <v>1085</v>
      </c>
      <c r="K213" s="4" t="s">
        <v>1057</v>
      </c>
      <c r="L213" s="4" t="s">
        <v>25</v>
      </c>
      <c r="M213" s="3" t="s">
        <v>26</v>
      </c>
      <c r="N213" s="4"/>
      <c r="O213" s="4"/>
      <c r="P213" s="4"/>
    </row>
    <row r="214" spans="1:16" x14ac:dyDescent="0.35">
      <c r="A214" s="3">
        <v>213</v>
      </c>
      <c r="B214" s="4" t="s">
        <v>1050</v>
      </c>
      <c r="C214" s="4" t="s">
        <v>1086</v>
      </c>
      <c r="D214" s="7" t="s">
        <v>28</v>
      </c>
      <c r="E214" s="4" t="s">
        <v>1087</v>
      </c>
      <c r="F214" s="4" t="s">
        <v>46</v>
      </c>
      <c r="G214" s="6" t="s">
        <v>1088</v>
      </c>
      <c r="H214" s="4" t="s">
        <v>1089</v>
      </c>
      <c r="I214" s="4" t="s">
        <v>103</v>
      </c>
      <c r="J214" s="4" t="s">
        <v>1090</v>
      </c>
      <c r="K214" s="4" t="s">
        <v>1057</v>
      </c>
      <c r="L214" s="4" t="s">
        <v>25</v>
      </c>
      <c r="M214" s="3" t="s">
        <v>26</v>
      </c>
      <c r="N214" s="4"/>
      <c r="O214" s="4"/>
      <c r="P214" s="4"/>
    </row>
    <row r="215" spans="1:16" x14ac:dyDescent="0.35">
      <c r="A215" s="3">
        <v>214</v>
      </c>
      <c r="B215" s="4" t="s">
        <v>1050</v>
      </c>
      <c r="C215" s="4" t="s">
        <v>1091</v>
      </c>
      <c r="D215" s="7" t="s">
        <v>28</v>
      </c>
      <c r="E215" s="4" t="s">
        <v>1092</v>
      </c>
      <c r="F215" s="4" t="s">
        <v>46</v>
      </c>
      <c r="G215" s="6" t="s">
        <v>1093</v>
      </c>
      <c r="H215" s="4" t="s">
        <v>1048</v>
      </c>
      <c r="I215" s="4" t="s">
        <v>69</v>
      </c>
      <c r="J215" s="4" t="s">
        <v>1094</v>
      </c>
      <c r="K215" s="4" t="s">
        <v>1057</v>
      </c>
      <c r="L215" s="4" t="s">
        <v>25</v>
      </c>
      <c r="M215" s="3" t="s">
        <v>26</v>
      </c>
      <c r="N215" s="4"/>
      <c r="O215" s="4"/>
      <c r="P215" s="4"/>
    </row>
    <row r="216" spans="1:16" x14ac:dyDescent="0.35">
      <c r="A216" s="3">
        <v>215</v>
      </c>
      <c r="B216" s="4" t="s">
        <v>1050</v>
      </c>
      <c r="C216" s="4" t="s">
        <v>1095</v>
      </c>
      <c r="D216" s="7" t="s">
        <v>28</v>
      </c>
      <c r="E216" s="4" t="s">
        <v>1096</v>
      </c>
      <c r="F216" s="4" t="s">
        <v>20</v>
      </c>
      <c r="G216" s="6" t="s">
        <v>1097</v>
      </c>
      <c r="H216" s="4" t="s">
        <v>1098</v>
      </c>
      <c r="I216" s="4" t="s">
        <v>75</v>
      </c>
      <c r="J216" s="4" t="s">
        <v>1099</v>
      </c>
      <c r="K216" s="4" t="s">
        <v>1057</v>
      </c>
      <c r="L216" s="4" t="s">
        <v>25</v>
      </c>
      <c r="M216" s="3" t="s">
        <v>26</v>
      </c>
      <c r="N216" s="4"/>
      <c r="O216" s="4"/>
      <c r="P216" s="4"/>
    </row>
    <row r="217" spans="1:16" x14ac:dyDescent="0.35">
      <c r="A217" s="3">
        <v>216</v>
      </c>
      <c r="B217" s="4" t="s">
        <v>1050</v>
      </c>
      <c r="C217" s="4" t="s">
        <v>1100</v>
      </c>
      <c r="D217" s="7" t="s">
        <v>28</v>
      </c>
      <c r="E217" s="4" t="s">
        <v>1101</v>
      </c>
      <c r="F217" s="4" t="s">
        <v>20</v>
      </c>
      <c r="G217" s="6" t="s">
        <v>1102</v>
      </c>
      <c r="H217" s="4" t="s">
        <v>1103</v>
      </c>
      <c r="I217" s="4" t="s">
        <v>1104</v>
      </c>
      <c r="J217" s="4" t="s">
        <v>1105</v>
      </c>
      <c r="K217" s="4" t="s">
        <v>1057</v>
      </c>
      <c r="L217" s="4" t="s">
        <v>25</v>
      </c>
      <c r="M217" s="3" t="s">
        <v>26</v>
      </c>
      <c r="N217" s="4"/>
      <c r="O217" s="4"/>
      <c r="P217" s="4"/>
    </row>
    <row r="218" spans="1:16" x14ac:dyDescent="0.35">
      <c r="A218" s="3">
        <v>217</v>
      </c>
      <c r="B218" s="4" t="s">
        <v>1050</v>
      </c>
      <c r="C218" s="4" t="s">
        <v>1106</v>
      </c>
      <c r="D218" s="7" t="s">
        <v>28</v>
      </c>
      <c r="E218" s="4" t="s">
        <v>1107</v>
      </c>
      <c r="F218" s="4" t="s">
        <v>20</v>
      </c>
      <c r="G218" s="6" t="s">
        <v>1108</v>
      </c>
      <c r="H218" s="4" t="s">
        <v>1109</v>
      </c>
      <c r="I218" s="4" t="s">
        <v>660</v>
      </c>
      <c r="J218" s="4" t="s">
        <v>1110</v>
      </c>
      <c r="K218" s="4" t="s">
        <v>1057</v>
      </c>
      <c r="L218" s="4" t="s">
        <v>25</v>
      </c>
      <c r="M218" s="3" t="s">
        <v>26</v>
      </c>
      <c r="N218" s="4"/>
      <c r="O218" s="4"/>
      <c r="P218" s="4"/>
    </row>
    <row r="219" spans="1:16" x14ac:dyDescent="0.35">
      <c r="A219" s="3">
        <v>218</v>
      </c>
      <c r="B219" s="4" t="s">
        <v>1050</v>
      </c>
      <c r="C219" s="4" t="s">
        <v>1111</v>
      </c>
      <c r="D219" s="7" t="s">
        <v>28</v>
      </c>
      <c r="E219" s="4" t="s">
        <v>1112</v>
      </c>
      <c r="F219" s="4" t="s">
        <v>46</v>
      </c>
      <c r="G219" s="6" t="s">
        <v>1113</v>
      </c>
      <c r="H219" s="4" t="s">
        <v>1114</v>
      </c>
      <c r="I219" s="4" t="s">
        <v>37</v>
      </c>
      <c r="J219" s="4" t="s">
        <v>1115</v>
      </c>
      <c r="K219" s="4" t="s">
        <v>1057</v>
      </c>
      <c r="L219" s="4" t="s">
        <v>25</v>
      </c>
      <c r="M219" s="3" t="s">
        <v>26</v>
      </c>
      <c r="N219" s="4"/>
      <c r="O219" s="4"/>
      <c r="P219" s="4"/>
    </row>
    <row r="220" spans="1:16" x14ac:dyDescent="0.35">
      <c r="A220" s="3">
        <v>219</v>
      </c>
      <c r="B220" s="4" t="s">
        <v>1050</v>
      </c>
      <c r="C220" s="4" t="s">
        <v>1116</v>
      </c>
      <c r="D220" s="7" t="s">
        <v>28</v>
      </c>
      <c r="E220" s="4" t="s">
        <v>1117</v>
      </c>
      <c r="F220" s="4" t="s">
        <v>20</v>
      </c>
      <c r="G220" s="6" t="s">
        <v>1118</v>
      </c>
      <c r="H220" s="4" t="s">
        <v>1119</v>
      </c>
      <c r="I220" s="4" t="s">
        <v>37</v>
      </c>
      <c r="J220" s="4" t="s">
        <v>1120</v>
      </c>
      <c r="K220" s="4" t="s">
        <v>1057</v>
      </c>
      <c r="L220" s="4" t="s">
        <v>25</v>
      </c>
      <c r="M220" s="3" t="s">
        <v>26</v>
      </c>
      <c r="N220" s="4"/>
      <c r="O220" s="4"/>
      <c r="P220" s="4"/>
    </row>
    <row r="221" spans="1:16" x14ac:dyDescent="0.35">
      <c r="A221" s="3">
        <v>220</v>
      </c>
      <c r="B221" s="4" t="s">
        <v>1050</v>
      </c>
      <c r="C221" s="4" t="s">
        <v>1121</v>
      </c>
      <c r="D221" s="7" t="s">
        <v>28</v>
      </c>
      <c r="E221" s="4" t="s">
        <v>1122</v>
      </c>
      <c r="F221" s="4" t="s">
        <v>46</v>
      </c>
      <c r="G221" s="6" t="s">
        <v>1123</v>
      </c>
      <c r="H221" s="4" t="s">
        <v>1124</v>
      </c>
      <c r="I221" s="4" t="s">
        <v>1125</v>
      </c>
      <c r="J221" s="4" t="s">
        <v>1126</v>
      </c>
      <c r="K221" s="4" t="s">
        <v>1057</v>
      </c>
      <c r="L221" s="4" t="s">
        <v>25</v>
      </c>
      <c r="M221" s="3" t="s">
        <v>26</v>
      </c>
      <c r="N221" s="4"/>
      <c r="O221" s="4"/>
      <c r="P221" s="4"/>
    </row>
    <row r="222" spans="1:16" x14ac:dyDescent="0.35">
      <c r="A222" s="3">
        <v>221</v>
      </c>
      <c r="B222" s="4" t="s">
        <v>1050</v>
      </c>
      <c r="C222" s="4" t="s">
        <v>1127</v>
      </c>
      <c r="D222" s="7" t="s">
        <v>28</v>
      </c>
      <c r="E222" s="4" t="s">
        <v>1128</v>
      </c>
      <c r="F222" s="4" t="s">
        <v>20</v>
      </c>
      <c r="G222" s="6" t="s">
        <v>1129</v>
      </c>
      <c r="H222" s="4" t="s">
        <v>1130</v>
      </c>
      <c r="I222" s="4" t="s">
        <v>69</v>
      </c>
      <c r="J222" s="4" t="s">
        <v>1131</v>
      </c>
      <c r="K222" s="4" t="s">
        <v>1057</v>
      </c>
      <c r="L222" s="4" t="s">
        <v>25</v>
      </c>
      <c r="M222" s="3" t="s">
        <v>26</v>
      </c>
      <c r="N222" s="4"/>
      <c r="O222" s="4"/>
      <c r="P222" s="4"/>
    </row>
    <row r="223" spans="1:16" x14ac:dyDescent="0.35">
      <c r="A223" s="3">
        <v>222</v>
      </c>
      <c r="B223" s="4" t="s">
        <v>1050</v>
      </c>
      <c r="C223" s="4" t="s">
        <v>1132</v>
      </c>
      <c r="D223" s="7" t="s">
        <v>28</v>
      </c>
      <c r="E223" s="4" t="s">
        <v>1133</v>
      </c>
      <c r="F223" s="4" t="s">
        <v>46</v>
      </c>
      <c r="G223" s="6" t="s">
        <v>1134</v>
      </c>
      <c r="H223" s="4" t="s">
        <v>1135</v>
      </c>
      <c r="I223" s="4" t="s">
        <v>86</v>
      </c>
      <c r="J223" s="4" t="s">
        <v>1136</v>
      </c>
      <c r="K223" s="4" t="s">
        <v>1057</v>
      </c>
      <c r="L223" s="4" t="s">
        <v>25</v>
      </c>
      <c r="M223" s="3" t="s">
        <v>26</v>
      </c>
      <c r="N223" s="4"/>
      <c r="O223" s="4"/>
      <c r="P223" s="4"/>
    </row>
    <row r="224" spans="1:16" x14ac:dyDescent="0.35">
      <c r="A224" s="3">
        <v>223</v>
      </c>
      <c r="B224" s="4" t="s">
        <v>1050</v>
      </c>
      <c r="C224" s="4" t="s">
        <v>1137</v>
      </c>
      <c r="D224" s="9" t="s">
        <v>219</v>
      </c>
      <c r="E224" s="4" t="s">
        <v>1138</v>
      </c>
      <c r="F224" s="4"/>
      <c r="G224" s="8"/>
      <c r="H224" s="4" t="s">
        <v>1139</v>
      </c>
      <c r="I224" s="4" t="s">
        <v>75</v>
      </c>
      <c r="J224" s="4" t="s">
        <v>1140</v>
      </c>
      <c r="K224" s="4" t="s">
        <v>1057</v>
      </c>
      <c r="L224" s="4" t="s">
        <v>25</v>
      </c>
      <c r="M224" s="3" t="s">
        <v>26</v>
      </c>
      <c r="N224" s="4"/>
      <c r="O224" s="4"/>
      <c r="P224" s="4"/>
    </row>
    <row r="225" spans="1:16" x14ac:dyDescent="0.35">
      <c r="A225" s="3">
        <v>224</v>
      </c>
      <c r="B225" s="4" t="s">
        <v>1050</v>
      </c>
      <c r="C225" s="4" t="s">
        <v>1141</v>
      </c>
      <c r="D225" s="9" t="s">
        <v>219</v>
      </c>
      <c r="E225" s="4" t="s">
        <v>1142</v>
      </c>
      <c r="F225" s="4" t="s">
        <v>46</v>
      </c>
      <c r="G225" s="6" t="s">
        <v>1143</v>
      </c>
      <c r="H225" s="4" t="s">
        <v>1144</v>
      </c>
      <c r="I225" s="4" t="s">
        <v>75</v>
      </c>
      <c r="J225" s="4" t="s">
        <v>1145</v>
      </c>
      <c r="K225" s="4" t="s">
        <v>1057</v>
      </c>
      <c r="L225" s="4" t="s">
        <v>25</v>
      </c>
      <c r="M225" s="3" t="s">
        <v>26</v>
      </c>
      <c r="N225" s="4"/>
      <c r="O225" s="4"/>
      <c r="P225" s="4"/>
    </row>
    <row r="226" spans="1:16" x14ac:dyDescent="0.35">
      <c r="A226" s="3">
        <v>225</v>
      </c>
      <c r="B226" s="4" t="s">
        <v>1050</v>
      </c>
      <c r="C226" s="4" t="s">
        <v>1146</v>
      </c>
      <c r="D226" s="7" t="s">
        <v>28</v>
      </c>
      <c r="E226" s="4" t="s">
        <v>1147</v>
      </c>
      <c r="F226" s="4" t="s">
        <v>46</v>
      </c>
      <c r="G226" s="6" t="s">
        <v>1148</v>
      </c>
      <c r="H226" s="4" t="s">
        <v>1149</v>
      </c>
      <c r="I226" s="4" t="s">
        <v>69</v>
      </c>
      <c r="J226" s="4" t="s">
        <v>1150</v>
      </c>
      <c r="K226" s="4" t="s">
        <v>1057</v>
      </c>
      <c r="L226" s="4" t="s">
        <v>25</v>
      </c>
      <c r="M226" s="3" t="s">
        <v>26</v>
      </c>
      <c r="N226" s="4"/>
      <c r="O226" s="4"/>
      <c r="P226" s="4"/>
    </row>
    <row r="227" spans="1:16" x14ac:dyDescent="0.35">
      <c r="A227" s="3">
        <v>226</v>
      </c>
      <c r="B227" s="4" t="s">
        <v>1050</v>
      </c>
      <c r="C227" s="4" t="s">
        <v>1151</v>
      </c>
      <c r="D227" s="7" t="s">
        <v>28</v>
      </c>
      <c r="E227" s="4" t="s">
        <v>1152</v>
      </c>
      <c r="F227" s="4" t="s">
        <v>46</v>
      </c>
      <c r="G227" s="6" t="s">
        <v>1153</v>
      </c>
      <c r="H227" s="4" t="s">
        <v>1154</v>
      </c>
      <c r="I227" s="4" t="s">
        <v>1155</v>
      </c>
      <c r="J227" s="4" t="s">
        <v>1156</v>
      </c>
      <c r="K227" s="4" t="s">
        <v>1057</v>
      </c>
      <c r="L227" s="4" t="s">
        <v>25</v>
      </c>
      <c r="M227" s="3" t="s">
        <v>26</v>
      </c>
      <c r="N227" s="4"/>
      <c r="O227" s="4"/>
      <c r="P227" s="4"/>
    </row>
    <row r="228" spans="1:16" x14ac:dyDescent="0.35">
      <c r="A228" s="3">
        <v>227</v>
      </c>
      <c r="B228" s="4" t="s">
        <v>1050</v>
      </c>
      <c r="C228" s="4" t="s">
        <v>1157</v>
      </c>
      <c r="D228" s="7" t="s">
        <v>28</v>
      </c>
      <c r="E228" s="4" t="s">
        <v>1158</v>
      </c>
      <c r="F228" s="4" t="s">
        <v>46</v>
      </c>
      <c r="G228" s="6" t="s">
        <v>1159</v>
      </c>
      <c r="H228" s="4" t="s">
        <v>1160</v>
      </c>
      <c r="I228" s="4" t="s">
        <v>1161</v>
      </c>
      <c r="J228" s="4" t="s">
        <v>1162</v>
      </c>
      <c r="K228" s="4" t="s">
        <v>1057</v>
      </c>
      <c r="L228" s="4" t="s">
        <v>25</v>
      </c>
      <c r="M228" s="3" t="s">
        <v>26</v>
      </c>
      <c r="N228" s="4"/>
      <c r="O228" s="4"/>
      <c r="P228" s="4"/>
    </row>
    <row r="229" spans="1:16" x14ac:dyDescent="0.35">
      <c r="A229" s="3">
        <v>228</v>
      </c>
      <c r="B229" s="4" t="s">
        <v>1050</v>
      </c>
      <c r="C229" s="4" t="s">
        <v>1163</v>
      </c>
      <c r="D229" s="7" t="s">
        <v>28</v>
      </c>
      <c r="E229" s="4" t="s">
        <v>1164</v>
      </c>
      <c r="F229" s="4" t="s">
        <v>20</v>
      </c>
      <c r="G229" s="6" t="s">
        <v>1165</v>
      </c>
      <c r="H229" s="4" t="s">
        <v>1166</v>
      </c>
      <c r="I229" s="4" t="s">
        <v>86</v>
      </c>
      <c r="J229" s="4" t="s">
        <v>1167</v>
      </c>
      <c r="K229" s="4" t="s">
        <v>1057</v>
      </c>
      <c r="L229" s="4" t="s">
        <v>25</v>
      </c>
      <c r="M229" s="3" t="s">
        <v>26</v>
      </c>
      <c r="N229" s="4"/>
      <c r="O229" s="4"/>
      <c r="P229" s="4"/>
    </row>
    <row r="230" spans="1:16" x14ac:dyDescent="0.35">
      <c r="A230" s="3">
        <v>229</v>
      </c>
      <c r="B230" s="4" t="s">
        <v>1050</v>
      </c>
      <c r="C230" s="4" t="s">
        <v>1168</v>
      </c>
      <c r="D230" s="9" t="s">
        <v>219</v>
      </c>
      <c r="E230" s="4" t="s">
        <v>1169</v>
      </c>
      <c r="F230" s="4" t="s">
        <v>20</v>
      </c>
      <c r="G230" s="6" t="s">
        <v>1170</v>
      </c>
      <c r="H230" s="4" t="s">
        <v>1171</v>
      </c>
      <c r="I230" s="4" t="s">
        <v>1172</v>
      </c>
      <c r="J230" s="4" t="s">
        <v>1173</v>
      </c>
      <c r="K230" s="4" t="s">
        <v>1057</v>
      </c>
      <c r="L230" s="4" t="s">
        <v>25</v>
      </c>
      <c r="M230" s="3" t="s">
        <v>26</v>
      </c>
      <c r="N230" s="4"/>
      <c r="O230" s="4"/>
      <c r="P230" s="4"/>
    </row>
    <row r="231" spans="1:16" x14ac:dyDescent="0.35">
      <c r="A231" s="3">
        <v>230</v>
      </c>
      <c r="B231" s="4" t="s">
        <v>1050</v>
      </c>
      <c r="C231" s="4" t="s">
        <v>1174</v>
      </c>
      <c r="D231" s="7" t="s">
        <v>28</v>
      </c>
      <c r="E231" s="4" t="s">
        <v>1175</v>
      </c>
      <c r="F231" s="4" t="s">
        <v>46</v>
      </c>
      <c r="G231" s="6" t="s">
        <v>1176</v>
      </c>
      <c r="H231" s="4" t="s">
        <v>1177</v>
      </c>
      <c r="I231" s="4" t="s">
        <v>1178</v>
      </c>
      <c r="J231" s="4" t="s">
        <v>1179</v>
      </c>
      <c r="K231" s="4" t="s">
        <v>1057</v>
      </c>
      <c r="L231" s="4" t="s">
        <v>25</v>
      </c>
      <c r="M231" s="3" t="s">
        <v>26</v>
      </c>
      <c r="N231" s="4"/>
      <c r="O231" s="4"/>
      <c r="P231" s="4"/>
    </row>
  </sheetData>
  <conditionalFormatting sqref="M2:M231">
    <cfRule type="cellIs" dxfId="3" priority="2" operator="equal">
      <formula>"Solved"</formula>
    </cfRule>
    <cfRule type="cellIs" dxfId="2" priority="3" operator="equal">
      <formula>"In Progress"</formula>
    </cfRule>
    <cfRule type="cellIs" dxfId="1" priority="4" operator="equal">
      <formula>"Revisit"</formula>
    </cfRule>
    <cfRule type="cellIs" dxfId="0" priority="5" operator="equal">
      <formula>"Not Started"</formula>
    </cfRule>
  </conditionalFormatting>
  <dataValidations count="1">
    <dataValidation type="list" allowBlank="1" sqref="M2:M231" xr:uid="{00000000-0002-0000-0000-000000000000}">
      <formula1>"Not Started,In Progress,Solved,Revisit"</formula1>
      <formula2>0</formula2>
    </dataValidation>
  </dataValidations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6" r:id="rId4" xr:uid="{00000000-0004-0000-0000-000003000000}"/>
    <hyperlink ref="G7" r:id="rId5" xr:uid="{00000000-0004-0000-0000-000004000000}"/>
    <hyperlink ref="G8" r:id="rId6" xr:uid="{00000000-0004-0000-0000-000005000000}"/>
    <hyperlink ref="G9" r:id="rId7" xr:uid="{00000000-0004-0000-0000-000006000000}"/>
    <hyperlink ref="G10" r:id="rId8" xr:uid="{00000000-0004-0000-0000-000007000000}"/>
    <hyperlink ref="G11" r:id="rId9" xr:uid="{00000000-0004-0000-0000-000008000000}"/>
    <hyperlink ref="G12" r:id="rId10" xr:uid="{00000000-0004-0000-0000-000009000000}"/>
    <hyperlink ref="G13" r:id="rId11" xr:uid="{00000000-0004-0000-0000-00000A000000}"/>
    <hyperlink ref="G14" r:id="rId12" xr:uid="{00000000-0004-0000-0000-00000B000000}"/>
    <hyperlink ref="G15" r:id="rId13" xr:uid="{00000000-0004-0000-0000-00000C000000}"/>
    <hyperlink ref="G16" r:id="rId14" xr:uid="{00000000-0004-0000-0000-00000D000000}"/>
    <hyperlink ref="G17" r:id="rId15" xr:uid="{00000000-0004-0000-0000-00000E000000}"/>
    <hyperlink ref="G18" r:id="rId16" xr:uid="{00000000-0004-0000-0000-00000F000000}"/>
    <hyperlink ref="G19" r:id="rId17" xr:uid="{00000000-0004-0000-0000-000010000000}"/>
    <hyperlink ref="G20" r:id="rId18" xr:uid="{00000000-0004-0000-0000-000011000000}"/>
    <hyperlink ref="G21" r:id="rId19" xr:uid="{00000000-0004-0000-0000-000012000000}"/>
    <hyperlink ref="G22" r:id="rId20" xr:uid="{00000000-0004-0000-0000-000013000000}"/>
    <hyperlink ref="G23" r:id="rId21" xr:uid="{00000000-0004-0000-0000-000014000000}"/>
    <hyperlink ref="G24" r:id="rId22" xr:uid="{00000000-0004-0000-0000-000015000000}"/>
    <hyperlink ref="G25" r:id="rId23" xr:uid="{00000000-0004-0000-0000-000016000000}"/>
    <hyperlink ref="G26" r:id="rId24" xr:uid="{00000000-0004-0000-0000-000017000000}"/>
    <hyperlink ref="G33" r:id="rId25" xr:uid="{00000000-0004-0000-0000-000018000000}"/>
    <hyperlink ref="G34" r:id="rId26" xr:uid="{00000000-0004-0000-0000-000019000000}"/>
    <hyperlink ref="G35" r:id="rId27" xr:uid="{00000000-0004-0000-0000-00001A000000}"/>
    <hyperlink ref="G36" r:id="rId28" xr:uid="{00000000-0004-0000-0000-00001B000000}"/>
    <hyperlink ref="G39" r:id="rId29" xr:uid="{00000000-0004-0000-0000-00001C000000}"/>
    <hyperlink ref="G40" r:id="rId30" xr:uid="{00000000-0004-0000-0000-00001D000000}"/>
    <hyperlink ref="G41" r:id="rId31" xr:uid="{00000000-0004-0000-0000-00001E000000}"/>
    <hyperlink ref="G42" r:id="rId32" xr:uid="{00000000-0004-0000-0000-00001F000000}"/>
    <hyperlink ref="G43" r:id="rId33" xr:uid="{00000000-0004-0000-0000-000020000000}"/>
    <hyperlink ref="G45" r:id="rId34" xr:uid="{00000000-0004-0000-0000-000021000000}"/>
    <hyperlink ref="G46" r:id="rId35" xr:uid="{00000000-0004-0000-0000-000022000000}"/>
    <hyperlink ref="G47" r:id="rId36" xr:uid="{00000000-0004-0000-0000-000023000000}"/>
    <hyperlink ref="G48" r:id="rId37" xr:uid="{00000000-0004-0000-0000-000024000000}"/>
    <hyperlink ref="G49" r:id="rId38" xr:uid="{00000000-0004-0000-0000-000025000000}"/>
    <hyperlink ref="G51" r:id="rId39" xr:uid="{00000000-0004-0000-0000-000026000000}"/>
    <hyperlink ref="G52" r:id="rId40" xr:uid="{00000000-0004-0000-0000-000027000000}"/>
    <hyperlink ref="G54" r:id="rId41" xr:uid="{00000000-0004-0000-0000-000028000000}"/>
    <hyperlink ref="G55" r:id="rId42" xr:uid="{00000000-0004-0000-0000-000029000000}"/>
    <hyperlink ref="G56" r:id="rId43" xr:uid="{00000000-0004-0000-0000-00002A000000}"/>
    <hyperlink ref="G58" r:id="rId44" xr:uid="{00000000-0004-0000-0000-00002B000000}"/>
    <hyperlink ref="G59" r:id="rId45" xr:uid="{00000000-0004-0000-0000-00002C000000}"/>
    <hyperlink ref="G60" r:id="rId46" xr:uid="{00000000-0004-0000-0000-00002D000000}"/>
    <hyperlink ref="G61" r:id="rId47" xr:uid="{00000000-0004-0000-0000-00002E000000}"/>
    <hyperlink ref="G63" r:id="rId48" xr:uid="{00000000-0004-0000-0000-00002F000000}"/>
    <hyperlink ref="G64" r:id="rId49" xr:uid="{00000000-0004-0000-0000-000030000000}"/>
    <hyperlink ref="G66" r:id="rId50" xr:uid="{00000000-0004-0000-0000-000031000000}"/>
    <hyperlink ref="G67" r:id="rId51" xr:uid="{00000000-0004-0000-0000-000032000000}"/>
    <hyperlink ref="G68" r:id="rId52" xr:uid="{00000000-0004-0000-0000-000033000000}"/>
    <hyperlink ref="G69" r:id="rId53" xr:uid="{00000000-0004-0000-0000-000034000000}"/>
    <hyperlink ref="G71" r:id="rId54" xr:uid="{00000000-0004-0000-0000-000035000000}"/>
    <hyperlink ref="G72" r:id="rId55" xr:uid="{00000000-0004-0000-0000-000036000000}"/>
    <hyperlink ref="G73" r:id="rId56" xr:uid="{00000000-0004-0000-0000-000037000000}"/>
    <hyperlink ref="G74" r:id="rId57" xr:uid="{00000000-0004-0000-0000-000038000000}"/>
    <hyperlink ref="G75" r:id="rId58" xr:uid="{00000000-0004-0000-0000-000039000000}"/>
    <hyperlink ref="G76" r:id="rId59" xr:uid="{00000000-0004-0000-0000-00003A000000}"/>
    <hyperlink ref="G77" r:id="rId60" xr:uid="{00000000-0004-0000-0000-00003B000000}"/>
    <hyperlink ref="G78" r:id="rId61" xr:uid="{00000000-0004-0000-0000-00003C000000}"/>
    <hyperlink ref="G79" r:id="rId62" xr:uid="{00000000-0004-0000-0000-00003D000000}"/>
    <hyperlink ref="G80" r:id="rId63" xr:uid="{00000000-0004-0000-0000-00003E000000}"/>
    <hyperlink ref="G81" r:id="rId64" xr:uid="{00000000-0004-0000-0000-00003F000000}"/>
    <hyperlink ref="G82" r:id="rId65" xr:uid="{00000000-0004-0000-0000-000040000000}"/>
    <hyperlink ref="G83" r:id="rId66" xr:uid="{00000000-0004-0000-0000-000041000000}"/>
    <hyperlink ref="G84" r:id="rId67" xr:uid="{00000000-0004-0000-0000-000042000000}"/>
    <hyperlink ref="G88" r:id="rId68" xr:uid="{00000000-0004-0000-0000-000043000000}"/>
    <hyperlink ref="G89" r:id="rId69" xr:uid="{00000000-0004-0000-0000-000044000000}"/>
    <hyperlink ref="G91" r:id="rId70" xr:uid="{00000000-0004-0000-0000-000045000000}"/>
    <hyperlink ref="G92" r:id="rId71" xr:uid="{00000000-0004-0000-0000-000046000000}"/>
    <hyperlink ref="G94" r:id="rId72" xr:uid="{00000000-0004-0000-0000-000047000000}"/>
    <hyperlink ref="G95" r:id="rId73" xr:uid="{00000000-0004-0000-0000-000048000000}"/>
    <hyperlink ref="G96" r:id="rId74" xr:uid="{00000000-0004-0000-0000-000049000000}"/>
    <hyperlink ref="G102" r:id="rId75" xr:uid="{00000000-0004-0000-0000-00004A000000}"/>
    <hyperlink ref="G103" r:id="rId76" xr:uid="{00000000-0004-0000-0000-00004B000000}"/>
    <hyperlink ref="G104" r:id="rId77" xr:uid="{00000000-0004-0000-0000-00004C000000}"/>
    <hyperlink ref="G105" r:id="rId78" xr:uid="{00000000-0004-0000-0000-00004D000000}"/>
    <hyperlink ref="G106" r:id="rId79" xr:uid="{00000000-0004-0000-0000-00004E000000}"/>
    <hyperlink ref="G107" r:id="rId80" xr:uid="{00000000-0004-0000-0000-00004F000000}"/>
    <hyperlink ref="G108" r:id="rId81" xr:uid="{00000000-0004-0000-0000-000050000000}"/>
    <hyperlink ref="G109" r:id="rId82" xr:uid="{00000000-0004-0000-0000-000051000000}"/>
    <hyperlink ref="G111" r:id="rId83" xr:uid="{00000000-0004-0000-0000-000052000000}"/>
    <hyperlink ref="G118" r:id="rId84" xr:uid="{00000000-0004-0000-0000-000053000000}"/>
    <hyperlink ref="G119" r:id="rId85" xr:uid="{00000000-0004-0000-0000-000054000000}"/>
    <hyperlink ref="G120" r:id="rId86" xr:uid="{00000000-0004-0000-0000-000055000000}"/>
    <hyperlink ref="G123" r:id="rId87" xr:uid="{00000000-0004-0000-0000-000056000000}"/>
    <hyperlink ref="G124" r:id="rId88" xr:uid="{00000000-0004-0000-0000-000057000000}"/>
    <hyperlink ref="G125" r:id="rId89" xr:uid="{00000000-0004-0000-0000-000058000000}"/>
    <hyperlink ref="G126" r:id="rId90" xr:uid="{00000000-0004-0000-0000-000059000000}"/>
    <hyperlink ref="G137" r:id="rId91" xr:uid="{00000000-0004-0000-0000-00005A000000}"/>
    <hyperlink ref="G138" r:id="rId92" xr:uid="{00000000-0004-0000-0000-00005B000000}"/>
    <hyperlink ref="G139" r:id="rId93" xr:uid="{00000000-0004-0000-0000-00005C000000}"/>
    <hyperlink ref="G140" r:id="rId94" xr:uid="{00000000-0004-0000-0000-00005D000000}"/>
    <hyperlink ref="G141" r:id="rId95" xr:uid="{00000000-0004-0000-0000-00005E000000}"/>
    <hyperlink ref="G147" r:id="rId96" xr:uid="{00000000-0004-0000-0000-00005F000000}"/>
    <hyperlink ref="G152" r:id="rId97" xr:uid="{00000000-0004-0000-0000-000060000000}"/>
    <hyperlink ref="G153" r:id="rId98" xr:uid="{00000000-0004-0000-0000-000061000000}"/>
    <hyperlink ref="G154" r:id="rId99" xr:uid="{00000000-0004-0000-0000-000062000000}"/>
    <hyperlink ref="G155" r:id="rId100" xr:uid="{00000000-0004-0000-0000-000063000000}"/>
    <hyperlink ref="G156" r:id="rId101" xr:uid="{00000000-0004-0000-0000-000064000000}"/>
    <hyperlink ref="G157" r:id="rId102" xr:uid="{00000000-0004-0000-0000-000065000000}"/>
    <hyperlink ref="G161" r:id="rId103" xr:uid="{00000000-0004-0000-0000-000066000000}"/>
    <hyperlink ref="G162" r:id="rId104" xr:uid="{00000000-0004-0000-0000-000067000000}"/>
    <hyperlink ref="G163" r:id="rId105" xr:uid="{00000000-0004-0000-0000-000068000000}"/>
    <hyperlink ref="G164" r:id="rId106" xr:uid="{00000000-0004-0000-0000-000069000000}"/>
    <hyperlink ref="G165" r:id="rId107" xr:uid="{00000000-0004-0000-0000-00006A000000}"/>
    <hyperlink ref="G166" r:id="rId108" xr:uid="{00000000-0004-0000-0000-00006B000000}"/>
    <hyperlink ref="G167" r:id="rId109" xr:uid="{00000000-0004-0000-0000-00006C000000}"/>
    <hyperlink ref="G168" r:id="rId110" xr:uid="{00000000-0004-0000-0000-00006D000000}"/>
    <hyperlink ref="G169" r:id="rId111" xr:uid="{00000000-0004-0000-0000-00006E000000}"/>
    <hyperlink ref="G171" r:id="rId112" xr:uid="{00000000-0004-0000-0000-00006F000000}"/>
    <hyperlink ref="G173" r:id="rId113" xr:uid="{00000000-0004-0000-0000-000070000000}"/>
    <hyperlink ref="G174" r:id="rId114" xr:uid="{00000000-0004-0000-0000-000071000000}"/>
    <hyperlink ref="G175" r:id="rId115" xr:uid="{00000000-0004-0000-0000-000072000000}"/>
    <hyperlink ref="G176" r:id="rId116" xr:uid="{00000000-0004-0000-0000-000073000000}"/>
    <hyperlink ref="G177" r:id="rId117" xr:uid="{00000000-0004-0000-0000-000074000000}"/>
    <hyperlink ref="G178" r:id="rId118" xr:uid="{00000000-0004-0000-0000-000075000000}"/>
    <hyperlink ref="G179" r:id="rId119" xr:uid="{00000000-0004-0000-0000-000076000000}"/>
    <hyperlink ref="G180" r:id="rId120" xr:uid="{00000000-0004-0000-0000-000077000000}"/>
    <hyperlink ref="G181" r:id="rId121" xr:uid="{00000000-0004-0000-0000-000078000000}"/>
    <hyperlink ref="G182" r:id="rId122" xr:uid="{00000000-0004-0000-0000-000079000000}"/>
    <hyperlink ref="G183" r:id="rId123" xr:uid="{00000000-0004-0000-0000-00007A000000}"/>
    <hyperlink ref="G184" r:id="rId124" xr:uid="{00000000-0004-0000-0000-00007B000000}"/>
    <hyperlink ref="G185" r:id="rId125" xr:uid="{00000000-0004-0000-0000-00007C000000}"/>
    <hyperlink ref="G186" r:id="rId126" xr:uid="{00000000-0004-0000-0000-00007D000000}"/>
    <hyperlink ref="G187" r:id="rId127" xr:uid="{00000000-0004-0000-0000-00007E000000}"/>
    <hyperlink ref="G188" r:id="rId128" xr:uid="{00000000-0004-0000-0000-00007F000000}"/>
    <hyperlink ref="G189" r:id="rId129" xr:uid="{00000000-0004-0000-0000-000080000000}"/>
    <hyperlink ref="G190" r:id="rId130" xr:uid="{00000000-0004-0000-0000-000081000000}"/>
    <hyperlink ref="G191" r:id="rId131" xr:uid="{00000000-0004-0000-0000-000082000000}"/>
    <hyperlink ref="G192" r:id="rId132" xr:uid="{00000000-0004-0000-0000-000083000000}"/>
    <hyperlink ref="G193" r:id="rId133" xr:uid="{00000000-0004-0000-0000-000084000000}"/>
    <hyperlink ref="G194" r:id="rId134" xr:uid="{00000000-0004-0000-0000-000085000000}"/>
    <hyperlink ref="G195" r:id="rId135" xr:uid="{00000000-0004-0000-0000-000086000000}"/>
    <hyperlink ref="G196" r:id="rId136" xr:uid="{00000000-0004-0000-0000-000087000000}"/>
    <hyperlink ref="G197" r:id="rId137" xr:uid="{00000000-0004-0000-0000-000088000000}"/>
    <hyperlink ref="G199" r:id="rId138" xr:uid="{00000000-0004-0000-0000-000089000000}"/>
    <hyperlink ref="G200" r:id="rId139" xr:uid="{00000000-0004-0000-0000-00008A000000}"/>
    <hyperlink ref="G201" r:id="rId140" xr:uid="{00000000-0004-0000-0000-00008B000000}"/>
    <hyperlink ref="G202" r:id="rId141" xr:uid="{00000000-0004-0000-0000-00008C000000}"/>
    <hyperlink ref="G203" r:id="rId142" xr:uid="{00000000-0004-0000-0000-00008D000000}"/>
    <hyperlink ref="G204" r:id="rId143" xr:uid="{00000000-0004-0000-0000-00008E000000}"/>
    <hyperlink ref="G205" r:id="rId144" xr:uid="{00000000-0004-0000-0000-00008F000000}"/>
    <hyperlink ref="G206" r:id="rId145" xr:uid="{00000000-0004-0000-0000-000090000000}"/>
    <hyperlink ref="G207" r:id="rId146" xr:uid="{00000000-0004-0000-0000-000091000000}"/>
    <hyperlink ref="G208" r:id="rId147" xr:uid="{00000000-0004-0000-0000-000092000000}"/>
    <hyperlink ref="G209" r:id="rId148" xr:uid="{00000000-0004-0000-0000-000093000000}"/>
    <hyperlink ref="G210" r:id="rId149" xr:uid="{00000000-0004-0000-0000-000094000000}"/>
    <hyperlink ref="G211" r:id="rId150" xr:uid="{00000000-0004-0000-0000-000095000000}"/>
    <hyperlink ref="G212" r:id="rId151" xr:uid="{00000000-0004-0000-0000-000096000000}"/>
    <hyperlink ref="G213" r:id="rId152" xr:uid="{00000000-0004-0000-0000-000097000000}"/>
    <hyperlink ref="G214" r:id="rId153" xr:uid="{00000000-0004-0000-0000-000098000000}"/>
    <hyperlink ref="G215" r:id="rId154" xr:uid="{00000000-0004-0000-0000-000099000000}"/>
    <hyperlink ref="G216" r:id="rId155" xr:uid="{00000000-0004-0000-0000-00009A000000}"/>
    <hyperlink ref="G217" r:id="rId156" xr:uid="{00000000-0004-0000-0000-00009B000000}"/>
    <hyperlink ref="G218" r:id="rId157" xr:uid="{00000000-0004-0000-0000-00009C000000}"/>
    <hyperlink ref="G219" r:id="rId158" xr:uid="{00000000-0004-0000-0000-00009D000000}"/>
    <hyperlink ref="G220" r:id="rId159" xr:uid="{00000000-0004-0000-0000-00009E000000}"/>
    <hyperlink ref="G221" r:id="rId160" xr:uid="{00000000-0004-0000-0000-00009F000000}"/>
    <hyperlink ref="G222" r:id="rId161" xr:uid="{00000000-0004-0000-0000-0000A0000000}"/>
    <hyperlink ref="G223" r:id="rId162" xr:uid="{00000000-0004-0000-0000-0000A1000000}"/>
    <hyperlink ref="G225" r:id="rId163" xr:uid="{00000000-0004-0000-0000-0000A2000000}"/>
    <hyperlink ref="G226" r:id="rId164" xr:uid="{00000000-0004-0000-0000-0000A3000000}"/>
    <hyperlink ref="G227" r:id="rId165" xr:uid="{00000000-0004-0000-0000-0000A4000000}"/>
    <hyperlink ref="G228" r:id="rId166" xr:uid="{00000000-0004-0000-0000-0000A5000000}"/>
    <hyperlink ref="G229" r:id="rId167" xr:uid="{00000000-0004-0000-0000-0000A6000000}"/>
    <hyperlink ref="G230" r:id="rId168" xr:uid="{00000000-0004-0000-0000-0000A7000000}"/>
    <hyperlink ref="G231" r:id="rId169" xr:uid="{00000000-0004-0000-0000-0000A8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zoomScaleNormal="100" workbookViewId="0"/>
  </sheetViews>
  <sheetFormatPr defaultColWidth="8.6328125" defaultRowHeight="14.5" x14ac:dyDescent="0.35"/>
  <cols>
    <col min="1" max="1" width="20" customWidth="1"/>
    <col min="2" max="2" width="12" customWidth="1"/>
  </cols>
  <sheetData>
    <row r="1" spans="1:2" ht="18" x14ac:dyDescent="0.4">
      <c r="A1" s="1" t="s">
        <v>1180</v>
      </c>
      <c r="B1" s="1"/>
    </row>
    <row r="3" spans="1:2" x14ac:dyDescent="0.35">
      <c r="A3" s="10" t="s">
        <v>1181</v>
      </c>
      <c r="B3" s="11">
        <f>COUNTA('DSA Tracker'!A2:A231)</f>
        <v>230</v>
      </c>
    </row>
    <row r="4" spans="1:2" x14ac:dyDescent="0.35">
      <c r="A4" s="10" t="s">
        <v>1182</v>
      </c>
      <c r="B4" s="11">
        <f>COUNTIF('DSA Tracker'!M2:M231,"Solved")</f>
        <v>0</v>
      </c>
    </row>
    <row r="5" spans="1:2" x14ac:dyDescent="0.35">
      <c r="A5" s="10" t="s">
        <v>1183</v>
      </c>
      <c r="B5" s="11">
        <f>COUNTIF('DSA Tracker'!M2:M231,"In Progress")</f>
        <v>0</v>
      </c>
    </row>
    <row r="6" spans="1:2" x14ac:dyDescent="0.35">
      <c r="A6" s="10" t="s">
        <v>26</v>
      </c>
      <c r="B6" s="11">
        <f>COUNTIF('DSA Tracker'!M2:M231,"Not Started")</f>
        <v>230</v>
      </c>
    </row>
    <row r="7" spans="1:2" x14ac:dyDescent="0.35">
      <c r="A7" s="10" t="s">
        <v>1184</v>
      </c>
      <c r="B7" s="11">
        <f>COUNTIF('DSA Tracker'!M2:M231,"Revisit")</f>
        <v>0</v>
      </c>
    </row>
    <row r="8" spans="1:2" x14ac:dyDescent="0.35">
      <c r="A8" s="10"/>
      <c r="B8" s="11"/>
    </row>
    <row r="9" spans="1:2" x14ac:dyDescent="0.35">
      <c r="A9" s="10" t="s">
        <v>1185</v>
      </c>
      <c r="B9" s="11">
        <f>COUNTIF('DSA Tracker'!D2:D231,"Easy")</f>
        <v>33</v>
      </c>
    </row>
    <row r="10" spans="1:2" x14ac:dyDescent="0.35">
      <c r="A10" s="10" t="s">
        <v>1186</v>
      </c>
      <c r="B10" s="11">
        <f>COUNTIF('DSA Tracker'!D2:D231,"Medium")</f>
        <v>176</v>
      </c>
    </row>
    <row r="11" spans="1:2" x14ac:dyDescent="0.35">
      <c r="A11" s="10" t="s">
        <v>1187</v>
      </c>
      <c r="B11" s="11">
        <f>COUNTIF('DSA Tracker'!D2:D231,"Hard")</f>
        <v>21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DSA Tracker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kabishvimala@gmail.com</cp:lastModifiedBy>
  <cp:revision>0</cp:revision>
  <dcterms:created xsi:type="dcterms:W3CDTF">2026-08-19T01:20:18Z</dcterms:created>
  <dcterms:modified xsi:type="dcterms:W3CDTF">2026-08-19T10:16:40Z</dcterms:modified>
  <dc:language>en-US</dc:language>
</cp:coreProperties>
</file>